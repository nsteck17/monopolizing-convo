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wsd7\OneDrive\Desktop\"/>
    </mc:Choice>
  </mc:AlternateContent>
  <xr:revisionPtr revIDLastSave="0" documentId="8_{0B8D5ACF-0089-4DA3-BD7C-76FEFF9653F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Run Data" sheetId="1" r:id="rId1"/>
    <sheet name="Sheet1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5" i="1"/>
  <c r="J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4" i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I4" i="1"/>
  <c r="L4" i="1" s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4" i="1"/>
  <c r="I5" i="1" l="1"/>
  <c r="I6" i="1" l="1"/>
  <c r="L5" i="1"/>
  <c r="L6" i="1" l="1"/>
  <c r="I7" i="1"/>
  <c r="L7" i="1" l="1"/>
  <c r="I8" i="1"/>
  <c r="I9" i="1" l="1"/>
  <c r="L8" i="1"/>
  <c r="I10" i="1" l="1"/>
  <c r="L9" i="1"/>
  <c r="I11" i="1" l="1"/>
  <c r="L10" i="1"/>
  <c r="I12" i="1" l="1"/>
  <c r="L11" i="1"/>
  <c r="I13" i="1" l="1"/>
  <c r="L12" i="1"/>
  <c r="I14" i="1" l="1"/>
  <c r="L13" i="1"/>
  <c r="I15" i="1" l="1"/>
  <c r="L14" i="1"/>
  <c r="I16" i="1" l="1"/>
  <c r="L15" i="1"/>
  <c r="I17" i="1" l="1"/>
  <c r="L16" i="1"/>
  <c r="I18" i="1" l="1"/>
  <c r="L17" i="1"/>
  <c r="L18" i="1" l="1"/>
  <c r="I19" i="1"/>
  <c r="L19" i="1" l="1"/>
  <c r="I20" i="1"/>
  <c r="I21" i="1" l="1"/>
  <c r="L20" i="1"/>
  <c r="I22" i="1" l="1"/>
  <c r="L21" i="1"/>
  <c r="I23" i="1" l="1"/>
  <c r="L22" i="1"/>
  <c r="I24" i="1" l="1"/>
  <c r="L23" i="1"/>
  <c r="I25" i="1" l="1"/>
  <c r="L24" i="1"/>
  <c r="I26" i="1" l="1"/>
  <c r="L25" i="1"/>
  <c r="L26" i="1" l="1"/>
  <c r="I27" i="1"/>
  <c r="L27" i="1" l="1"/>
  <c r="I28" i="1"/>
  <c r="L28" i="1" l="1"/>
  <c r="I29" i="1"/>
  <c r="L29" i="1" l="1"/>
  <c r="I30" i="1"/>
  <c r="L30" i="1" l="1"/>
  <c r="I31" i="1"/>
  <c r="L31" i="1" l="1"/>
  <c r="I32" i="1"/>
  <c r="L32" i="1" l="1"/>
  <c r="I33" i="1"/>
  <c r="L33" i="1" l="1"/>
  <c r="I34" i="1"/>
  <c r="L34" i="1" l="1"/>
  <c r="I35" i="1"/>
  <c r="L35" i="1" l="1"/>
  <c r="I36" i="1"/>
  <c r="I37" i="1" l="1"/>
  <c r="L36" i="1"/>
  <c r="I38" i="1" l="1"/>
  <c r="L37" i="1"/>
  <c r="L38" i="1" l="1"/>
  <c r="I39" i="1"/>
  <c r="L39" i="1" l="1"/>
  <c r="I40" i="1"/>
  <c r="I41" i="1" l="1"/>
  <c r="L40" i="1"/>
  <c r="I42" i="1" l="1"/>
  <c r="L41" i="1"/>
  <c r="I43" i="1" l="1"/>
  <c r="L42" i="1"/>
  <c r="L43" i="1" l="1"/>
  <c r="I44" i="1"/>
  <c r="L44" i="1" l="1"/>
  <c r="I45" i="1"/>
  <c r="I46" i="1" l="1"/>
  <c r="L45" i="1"/>
  <c r="I47" i="1" l="1"/>
  <c r="L46" i="1"/>
  <c r="L47" i="1" l="1"/>
  <c r="I48" i="1"/>
  <c r="L48" i="1" l="1"/>
  <c r="I49" i="1"/>
  <c r="L49" i="1" l="1"/>
  <c r="I50" i="1"/>
  <c r="I51" i="1" l="1"/>
  <c r="L50" i="1"/>
  <c r="L51" i="1" l="1"/>
  <c r="I52" i="1"/>
  <c r="L52" i="1" l="1"/>
  <c r="I53" i="1"/>
  <c r="L53" i="1" l="1"/>
  <c r="I54" i="1"/>
  <c r="L54" i="1" l="1"/>
  <c r="I55" i="1"/>
  <c r="L55" i="1" l="1"/>
  <c r="I56" i="1"/>
  <c r="I57" i="1" l="1"/>
  <c r="L56" i="1"/>
  <c r="I58" i="1" l="1"/>
  <c r="L57" i="1"/>
  <c r="I59" i="1" l="1"/>
  <c r="L58" i="1"/>
  <c r="L59" i="1" l="1"/>
  <c r="I60" i="1"/>
  <c r="I61" i="1" l="1"/>
  <c r="L60" i="1"/>
  <c r="I62" i="1" l="1"/>
  <c r="L61" i="1"/>
  <c r="L62" i="1" l="1"/>
  <c r="I63" i="1"/>
  <c r="I64" i="1" l="1"/>
  <c r="L63" i="1"/>
  <c r="L64" i="1" l="1"/>
  <c r="I65" i="1"/>
  <c r="L65" i="1" l="1"/>
  <c r="I66" i="1"/>
  <c r="I67" i="1" l="1"/>
  <c r="L66" i="1"/>
  <c r="I68" i="1" l="1"/>
  <c r="L67" i="1"/>
  <c r="I69" i="1" l="1"/>
  <c r="L68" i="1"/>
  <c r="L69" i="1" l="1"/>
  <c r="I70" i="1"/>
  <c r="L70" i="1" l="1"/>
  <c r="I71" i="1"/>
  <c r="I72" i="1" l="1"/>
  <c r="L71" i="1"/>
  <c r="L72" i="1" l="1"/>
  <c r="I73" i="1"/>
  <c r="L73" i="1" l="1"/>
  <c r="I74" i="1"/>
  <c r="I75" i="1" l="1"/>
  <c r="L74" i="1"/>
  <c r="L75" i="1" l="1"/>
  <c r="I76" i="1"/>
  <c r="I77" i="1" l="1"/>
  <c r="L76" i="1"/>
  <c r="L77" i="1" l="1"/>
  <c r="I78" i="1"/>
  <c r="I79" i="1" l="1"/>
  <c r="L78" i="1"/>
  <c r="L79" i="1" l="1"/>
  <c r="I80" i="1"/>
  <c r="L80" i="1" l="1"/>
  <c r="I81" i="1"/>
  <c r="L81" i="1" l="1"/>
  <c r="I82" i="1"/>
  <c r="I83" i="1" l="1"/>
  <c r="L82" i="1"/>
  <c r="I84" i="1" l="1"/>
  <c r="L83" i="1"/>
  <c r="L84" i="1" l="1"/>
  <c r="I85" i="1"/>
  <c r="L85" i="1" l="1"/>
  <c r="I86" i="1"/>
  <c r="L86" i="1" l="1"/>
  <c r="I87" i="1"/>
  <c r="I88" i="1" l="1"/>
  <c r="L87" i="1"/>
  <c r="L88" i="1" l="1"/>
  <c r="I89" i="1"/>
  <c r="L89" i="1" l="1"/>
  <c r="I90" i="1"/>
  <c r="I91" i="1" l="1"/>
  <c r="L90" i="1"/>
  <c r="I92" i="1" l="1"/>
  <c r="L91" i="1"/>
  <c r="I93" i="1" l="1"/>
  <c r="L92" i="1"/>
  <c r="I94" i="1" l="1"/>
  <c r="L93" i="1"/>
  <c r="I95" i="1" l="1"/>
  <c r="L94" i="1"/>
  <c r="I96" i="1" l="1"/>
  <c r="L95" i="1"/>
  <c r="L96" i="1" l="1"/>
  <c r="I97" i="1"/>
  <c r="L97" i="1" l="1"/>
  <c r="I98" i="1"/>
  <c r="I99" i="1" l="1"/>
  <c r="L98" i="1"/>
  <c r="I100" i="1" l="1"/>
  <c r="L99" i="1"/>
  <c r="L100" i="1" l="1"/>
  <c r="I101" i="1"/>
  <c r="L101" i="1" l="1"/>
  <c r="I102" i="1"/>
  <c r="L102" i="1" l="1"/>
  <c r="I103" i="1"/>
  <c r="L103" i="1" l="1"/>
  <c r="I104" i="1"/>
  <c r="I105" i="1" l="1"/>
  <c r="L104" i="1"/>
  <c r="L105" i="1" l="1"/>
  <c r="I106" i="1"/>
  <c r="I107" i="1" l="1"/>
  <c r="L106" i="1"/>
  <c r="L107" i="1" l="1"/>
  <c r="I108" i="1"/>
  <c r="L108" i="1" l="1"/>
  <c r="I109" i="1"/>
  <c r="L109" i="1" l="1"/>
  <c r="I110" i="1"/>
  <c r="I111" i="1" l="1"/>
  <c r="L110" i="1"/>
  <c r="I112" i="1" l="1"/>
  <c r="L111" i="1"/>
  <c r="L112" i="1" l="1"/>
  <c r="I113" i="1"/>
  <c r="L113" i="1" l="1"/>
  <c r="I114" i="1"/>
  <c r="L114" i="1" l="1"/>
  <c r="I115" i="1"/>
  <c r="L115" i="1" l="1"/>
  <c r="I116" i="1"/>
  <c r="I117" i="1" l="1"/>
  <c r="L116" i="1"/>
  <c r="I118" i="1" l="1"/>
  <c r="L117" i="1"/>
  <c r="L118" i="1" l="1"/>
  <c r="I119" i="1"/>
  <c r="I120" i="1" l="1"/>
  <c r="L119" i="1"/>
  <c r="L120" i="1" l="1"/>
  <c r="I121" i="1"/>
  <c r="L121" i="1" l="1"/>
  <c r="I122" i="1"/>
  <c r="I123" i="1" l="1"/>
  <c r="L122" i="1"/>
  <c r="L123" i="1" l="1"/>
  <c r="I124" i="1"/>
  <c r="L124" i="1" l="1"/>
  <c r="I125" i="1"/>
  <c r="L125" i="1" l="1"/>
  <c r="I126" i="1"/>
  <c r="I127" i="1" l="1"/>
  <c r="L126" i="1"/>
  <c r="L127" i="1" l="1"/>
  <c r="I128" i="1"/>
  <c r="L128" i="1" l="1"/>
  <c r="I129" i="1"/>
  <c r="L129" i="1" l="1"/>
  <c r="I130" i="1"/>
  <c r="I131" i="1" l="1"/>
  <c r="L130" i="1"/>
  <c r="I132" i="1" l="1"/>
  <c r="L131" i="1"/>
  <c r="L132" i="1" l="1"/>
  <c r="I133" i="1"/>
  <c r="L133" i="1" l="1"/>
  <c r="I134" i="1"/>
  <c r="L134" i="1" l="1"/>
  <c r="I135" i="1"/>
  <c r="I136" i="1" l="1"/>
  <c r="L135" i="1"/>
  <c r="L136" i="1" l="1"/>
  <c r="I137" i="1"/>
  <c r="I138" i="1" l="1"/>
  <c r="L137" i="1"/>
  <c r="I139" i="1" l="1"/>
  <c r="L138" i="1"/>
  <c r="L139" i="1" l="1"/>
  <c r="I140" i="1"/>
  <c r="L140" i="1" l="1"/>
  <c r="I141" i="1"/>
  <c r="I142" i="1" l="1"/>
  <c r="L141" i="1"/>
  <c r="L142" i="1" l="1"/>
  <c r="I143" i="1"/>
  <c r="L143" i="1" l="1"/>
  <c r="I144" i="1"/>
  <c r="L144" i="1" l="1"/>
  <c r="I145" i="1"/>
  <c r="L145" i="1" l="1"/>
  <c r="I146" i="1"/>
  <c r="L146" i="1" l="1"/>
  <c r="I147" i="1"/>
  <c r="L147" i="1" l="1"/>
  <c r="I148" i="1"/>
  <c r="I149" i="1" l="1"/>
  <c r="L148" i="1"/>
  <c r="L149" i="1" l="1"/>
  <c r="I150" i="1"/>
  <c r="I151" i="1" l="1"/>
  <c r="L150" i="1"/>
  <c r="L151" i="1" l="1"/>
  <c r="I152" i="1"/>
  <c r="L152" i="1" l="1"/>
  <c r="I153" i="1"/>
  <c r="L153" i="1" l="1"/>
  <c r="I154" i="1"/>
  <c r="I155" i="1" l="1"/>
  <c r="L154" i="1"/>
  <c r="L155" i="1" l="1"/>
  <c r="I156" i="1"/>
  <c r="I157" i="1" l="1"/>
  <c r="L157" i="1" s="1"/>
  <c r="L156" i="1"/>
</calcChain>
</file>

<file path=xl/sharedStrings.xml><?xml version="1.0" encoding="utf-8"?>
<sst xmlns="http://schemas.openxmlformats.org/spreadsheetml/2006/main" count="165" uniqueCount="165">
  <si>
    <t>Nbr Of Msgs</t>
  </si>
  <si>
    <t>Cnt of Next Msg Is Same</t>
  </si>
  <si>
    <t>Cnt of Next Msg Is New User</t>
  </si>
  <si>
    <t>Total Cnt of Instances</t>
  </si>
  <si>
    <t>% Next Msg New User</t>
  </si>
  <si>
    <t>% Next Msg Existing User</t>
  </si>
  <si>
    <t>Cumulus</t>
  </si>
  <si>
    <t>&lt;= 2</t>
  </si>
  <si>
    <t>&lt;= 3</t>
  </si>
  <si>
    <t>&lt;= 4</t>
  </si>
  <si>
    <t>&lt;= 5</t>
  </si>
  <si>
    <t>&lt;= 6</t>
  </si>
  <si>
    <t>&lt;= 7</t>
  </si>
  <si>
    <t>&lt;= 8</t>
  </si>
  <si>
    <t>&lt;= 9</t>
  </si>
  <si>
    <t>&lt;= 10</t>
  </si>
  <si>
    <t>&lt;= 11</t>
  </si>
  <si>
    <t>&lt;= 12</t>
  </si>
  <si>
    <t>&lt;= 13</t>
  </si>
  <si>
    <t>&lt;= 14</t>
  </si>
  <si>
    <t>&lt;= 15</t>
  </si>
  <si>
    <t>&lt;= 16</t>
  </si>
  <si>
    <t>&lt;= 17</t>
  </si>
  <si>
    <t>&lt;= 18</t>
  </si>
  <si>
    <t>&lt;= 19</t>
  </si>
  <si>
    <t>&lt;= 20</t>
  </si>
  <si>
    <t>&lt;= 21</t>
  </si>
  <si>
    <t>&lt;= 22</t>
  </si>
  <si>
    <t>&lt;= 23</t>
  </si>
  <si>
    <t>&lt;= 24</t>
  </si>
  <si>
    <t>&lt;= 25</t>
  </si>
  <si>
    <t>&lt;= 26</t>
  </si>
  <si>
    <t>&lt;= 27</t>
  </si>
  <si>
    <t>&lt;= 28</t>
  </si>
  <si>
    <t>&lt;= 29</t>
  </si>
  <si>
    <t>&lt;= 30</t>
  </si>
  <si>
    <t>&lt;= 31</t>
  </si>
  <si>
    <t>&lt;= 32</t>
  </si>
  <si>
    <t>&lt;= 33</t>
  </si>
  <si>
    <t>&lt;= 34</t>
  </si>
  <si>
    <t>&lt;= 35</t>
  </si>
  <si>
    <t>&lt;= 36</t>
  </si>
  <si>
    <t>&lt;= 37</t>
  </si>
  <si>
    <t>&lt;= 38</t>
  </si>
  <si>
    <t>&lt;= 39</t>
  </si>
  <si>
    <t>&lt;= 40</t>
  </si>
  <si>
    <t>&lt;= 41</t>
  </si>
  <si>
    <t>&lt;= 42</t>
  </si>
  <si>
    <t>&lt;= 43</t>
  </si>
  <si>
    <t>&lt;= 44</t>
  </si>
  <si>
    <t>&lt;= 45</t>
  </si>
  <si>
    <t>&lt;= 46</t>
  </si>
  <si>
    <t>&lt;= 47</t>
  </si>
  <si>
    <t>&lt;= 48</t>
  </si>
  <si>
    <t>&lt;= 49</t>
  </si>
  <si>
    <t>&lt;= 50</t>
  </si>
  <si>
    <t>&lt;= 51</t>
  </si>
  <si>
    <t>&lt;= 52</t>
  </si>
  <si>
    <t>&lt;= 53</t>
  </si>
  <si>
    <t>&lt;= 54</t>
  </si>
  <si>
    <t>&lt;= 55</t>
  </si>
  <si>
    <t>&lt;= 56</t>
  </si>
  <si>
    <t>&lt;= 57</t>
  </si>
  <si>
    <t>&lt;= 58</t>
  </si>
  <si>
    <t>&lt;= 59</t>
  </si>
  <si>
    <t>&lt;= 60</t>
  </si>
  <si>
    <t>&lt;= 61</t>
  </si>
  <si>
    <t>&lt;= 62</t>
  </si>
  <si>
    <t>&lt;= 63</t>
  </si>
  <si>
    <t>&lt;= 64</t>
  </si>
  <si>
    <t>&lt;= 65</t>
  </si>
  <si>
    <t>&lt;= 66</t>
  </si>
  <si>
    <t>&lt;= 67</t>
  </si>
  <si>
    <t>&lt;= 68</t>
  </si>
  <si>
    <t>&lt;= 69</t>
  </si>
  <si>
    <t>&lt;= 70</t>
  </si>
  <si>
    <t>&lt;= 71</t>
  </si>
  <si>
    <t>&lt;= 72</t>
  </si>
  <si>
    <t>&lt;= 73</t>
  </si>
  <si>
    <t>&lt;= 74</t>
  </si>
  <si>
    <t>&lt;= 75</t>
  </si>
  <si>
    <t>&lt;= 76</t>
  </si>
  <si>
    <t>&lt;= 77</t>
  </si>
  <si>
    <t>&lt;= 78</t>
  </si>
  <si>
    <t>&lt;= 79</t>
  </si>
  <si>
    <t>&lt;= 80</t>
  </si>
  <si>
    <t>&lt;= 81</t>
  </si>
  <si>
    <t>&lt;= 82</t>
  </si>
  <si>
    <t>&lt;= 83</t>
  </si>
  <si>
    <t>&lt;= 84</t>
  </si>
  <si>
    <t>&lt;= 85</t>
  </si>
  <si>
    <t>&lt;= 86</t>
  </si>
  <si>
    <t>&lt;= 87</t>
  </si>
  <si>
    <t>&lt;= 88</t>
  </si>
  <si>
    <t>&lt;= 89</t>
  </si>
  <si>
    <t>&lt;= 90</t>
  </si>
  <si>
    <t>&lt;= 91</t>
  </si>
  <si>
    <t>&lt;= 92</t>
  </si>
  <si>
    <t>&lt;= 93</t>
  </si>
  <si>
    <t>&lt;= 94</t>
  </si>
  <si>
    <t>&lt;= 95</t>
  </si>
  <si>
    <t>&lt;= 96</t>
  </si>
  <si>
    <t>&lt;= 97</t>
  </si>
  <si>
    <t>&lt;= 98</t>
  </si>
  <si>
    <t>&lt;= 99</t>
  </si>
  <si>
    <t>&lt;= 100</t>
  </si>
  <si>
    <t>&lt;= 101</t>
  </si>
  <si>
    <t>&lt;= 102</t>
  </si>
  <si>
    <t>&lt;= 103</t>
  </si>
  <si>
    <t>&lt;= 104</t>
  </si>
  <si>
    <t>&lt;= 105</t>
  </si>
  <si>
    <t>&lt;= 106</t>
  </si>
  <si>
    <t>&lt;= 107</t>
  </si>
  <si>
    <t>&lt;= 108</t>
  </si>
  <si>
    <t>&lt;= 109</t>
  </si>
  <si>
    <t>&lt;= 110</t>
  </si>
  <si>
    <t>&lt;= 111</t>
  </si>
  <si>
    <t>&lt;= 112</t>
  </si>
  <si>
    <t>&lt;= 113</t>
  </si>
  <si>
    <t>&lt;= 114</t>
  </si>
  <si>
    <t>&lt;= 115</t>
  </si>
  <si>
    <t>&lt;= 116</t>
  </si>
  <si>
    <t>&lt;= 117</t>
  </si>
  <si>
    <t>&lt;= 118</t>
  </si>
  <si>
    <t>&lt;= 119</t>
  </si>
  <si>
    <t>&lt;= 120</t>
  </si>
  <si>
    <t>&lt;= 121</t>
  </si>
  <si>
    <t>&lt;= 122</t>
  </si>
  <si>
    <t>&lt;= 123</t>
  </si>
  <si>
    <t>&lt;= 124</t>
  </si>
  <si>
    <t>&lt;= 125</t>
  </si>
  <si>
    <t>&lt;= 126</t>
  </si>
  <si>
    <t>&lt;= 127</t>
  </si>
  <si>
    <t>&lt;= 128</t>
  </si>
  <si>
    <t>&lt;= 129</t>
  </si>
  <si>
    <t>&lt;= 130</t>
  </si>
  <si>
    <t>&lt;= 131</t>
  </si>
  <si>
    <t>&lt;= 132</t>
  </si>
  <si>
    <t>&lt;= 133</t>
  </si>
  <si>
    <t>&lt;= 134</t>
  </si>
  <si>
    <t>&lt;= 135</t>
  </si>
  <si>
    <t>&lt;= 136</t>
  </si>
  <si>
    <t>&lt;= 137</t>
  </si>
  <si>
    <t>&lt;= 138</t>
  </si>
  <si>
    <t>&lt;= 139</t>
  </si>
  <si>
    <t>&lt;= 140</t>
  </si>
  <si>
    <t>&lt;= 141</t>
  </si>
  <si>
    <t>&lt;= 142</t>
  </si>
  <si>
    <t>&lt;= 143</t>
  </si>
  <si>
    <t>&lt;= 144</t>
  </si>
  <si>
    <t>&lt;= 145</t>
  </si>
  <si>
    <t>&lt;= 146</t>
  </si>
  <si>
    <t>&lt;= 147</t>
  </si>
  <si>
    <t>&lt;= 148</t>
  </si>
  <si>
    <t>&lt;= 149</t>
  </si>
  <si>
    <t>&lt;= 150</t>
  </si>
  <si>
    <t>&lt;= 151</t>
  </si>
  <si>
    <t>&lt;= 152</t>
  </si>
  <si>
    <t>&lt;= 153</t>
  </si>
  <si>
    <t>&lt;= 154</t>
  </si>
  <si>
    <t>&lt;= 155</t>
  </si>
  <si>
    <t>Total</t>
  </si>
  <si>
    <t>Next Same</t>
  </si>
  <si>
    <t>% Next Same of All Msg</t>
  </si>
  <si>
    <t>Next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</si>
</sst>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04591677022213E-2"/>
          <c:y val="1.7272074481255881E-2"/>
          <c:w val="0.93167272887353525"/>
          <c:h val="0.82077551626801371"/>
        </c:manualLayout>
      </c:layout>
      <c:lineChart>
        <c:grouping val="standard"/>
        <c:varyColors val="0"/>
        <c:ser>
          <c:idx val="3"/>
          <c:order val="0"/>
          <c:tx>
            <c:strRef>
              <c:f>'Run Data'!$E$3</c:f>
              <c:strCache>
                <c:ptCount val="1"/>
                <c:pt idx="0">
                  <c:v>% Next Msg Existing User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'Run Data'!$E$4:$E$157</c:f>
              <c:numCache>
                <c:formatCode>0%</c:formatCode>
                <c:ptCount val="154"/>
                <c:pt idx="0">
                  <c:v>0.36697663405236802</c:v>
                </c:pt>
                <c:pt idx="1">
                  <c:v>0.38892864112404868</c:v>
                </c:pt>
                <c:pt idx="2">
                  <c:v>0.43481551821422182</c:v>
                </c:pt>
                <c:pt idx="3">
                  <c:v>0.49137817905041864</c:v>
                </c:pt>
                <c:pt idx="4">
                  <c:v>0.5384106835911675</c:v>
                </c:pt>
                <c:pt idx="5">
                  <c:v>0.57173551427779323</c:v>
                </c:pt>
                <c:pt idx="6">
                  <c:v>0.61627194773376892</c:v>
                </c:pt>
                <c:pt idx="7">
                  <c:v>0.63914590747330957</c:v>
                </c:pt>
                <c:pt idx="8">
                  <c:v>0.6647684130599848</c:v>
                </c:pt>
                <c:pt idx="9">
                  <c:v>0.66568914956011727</c:v>
                </c:pt>
                <c:pt idx="10">
                  <c:v>0.6906148867313916</c:v>
                </c:pt>
                <c:pt idx="11">
                  <c:v>0.71232876712328763</c:v>
                </c:pt>
                <c:pt idx="12">
                  <c:v>0.71717171717171713</c:v>
                </c:pt>
                <c:pt idx="13">
                  <c:v>0.72639807576668669</c:v>
                </c:pt>
                <c:pt idx="14">
                  <c:v>0.73272589217919515</c:v>
                </c:pt>
                <c:pt idx="15">
                  <c:v>0.75752212389380535</c:v>
                </c:pt>
                <c:pt idx="16">
                  <c:v>0.75354416575790617</c:v>
                </c:pt>
                <c:pt idx="17">
                  <c:v>0.77300613496932513</c:v>
                </c:pt>
                <c:pt idx="18">
                  <c:v>0.78086419753086422</c:v>
                </c:pt>
                <c:pt idx="19">
                  <c:v>0.80528052805280526</c:v>
                </c:pt>
                <c:pt idx="20">
                  <c:v>0.76078431372549016</c:v>
                </c:pt>
                <c:pt idx="21">
                  <c:v>0.81333333333333335</c:v>
                </c:pt>
                <c:pt idx="22">
                  <c:v>0.78756476683937826</c:v>
                </c:pt>
                <c:pt idx="23">
                  <c:v>0.81609195402298851</c:v>
                </c:pt>
                <c:pt idx="24">
                  <c:v>0.82474226804123707</c:v>
                </c:pt>
                <c:pt idx="25">
                  <c:v>0.85977859778597787</c:v>
                </c:pt>
                <c:pt idx="26">
                  <c:v>0.84873949579831931</c:v>
                </c:pt>
                <c:pt idx="27">
                  <c:v>0.84188034188034189</c:v>
                </c:pt>
                <c:pt idx="28">
                  <c:v>0.83333333333333337</c:v>
                </c:pt>
                <c:pt idx="29">
                  <c:v>0.84536082474226804</c:v>
                </c:pt>
                <c:pt idx="30">
                  <c:v>0.84375</c:v>
                </c:pt>
                <c:pt idx="31">
                  <c:v>0.879746835443038</c:v>
                </c:pt>
                <c:pt idx="32">
                  <c:v>0.81690140845070425</c:v>
                </c:pt>
                <c:pt idx="33">
                  <c:v>0.84328358208955223</c:v>
                </c:pt>
                <c:pt idx="34">
                  <c:v>0.85585585585585588</c:v>
                </c:pt>
                <c:pt idx="35">
                  <c:v>0.87387387387387383</c:v>
                </c:pt>
                <c:pt idx="36">
                  <c:v>0.82653061224489799</c:v>
                </c:pt>
                <c:pt idx="37">
                  <c:v>0.82474226804123707</c:v>
                </c:pt>
                <c:pt idx="38">
                  <c:v>0.85333333333333339</c:v>
                </c:pt>
                <c:pt idx="39">
                  <c:v>0.89610389610389607</c:v>
                </c:pt>
                <c:pt idx="40">
                  <c:v>0.76712328767123283</c:v>
                </c:pt>
                <c:pt idx="41">
                  <c:v>0.91228070175438591</c:v>
                </c:pt>
                <c:pt idx="42">
                  <c:v>0.89473684210526316</c:v>
                </c:pt>
                <c:pt idx="43">
                  <c:v>0.86792452830188682</c:v>
                </c:pt>
                <c:pt idx="44">
                  <c:v>0.91666666666666663</c:v>
                </c:pt>
                <c:pt idx="45">
                  <c:v>0.8571428571428571</c:v>
                </c:pt>
                <c:pt idx="46">
                  <c:v>0.88095238095238093</c:v>
                </c:pt>
                <c:pt idx="47">
                  <c:v>0.92500000000000004</c:v>
                </c:pt>
                <c:pt idx="48">
                  <c:v>0.85</c:v>
                </c:pt>
                <c:pt idx="49">
                  <c:v>0.88571428571428568</c:v>
                </c:pt>
                <c:pt idx="50">
                  <c:v>0.9375</c:v>
                </c:pt>
                <c:pt idx="51">
                  <c:v>0.87878787878787878</c:v>
                </c:pt>
                <c:pt idx="52">
                  <c:v>0.89655172413793105</c:v>
                </c:pt>
                <c:pt idx="53">
                  <c:v>1</c:v>
                </c:pt>
                <c:pt idx="54">
                  <c:v>0.8125</c:v>
                </c:pt>
                <c:pt idx="55">
                  <c:v>0.86956521739130432</c:v>
                </c:pt>
                <c:pt idx="56">
                  <c:v>0.85185185185185186</c:v>
                </c:pt>
                <c:pt idx="57">
                  <c:v>0.8</c:v>
                </c:pt>
                <c:pt idx="58">
                  <c:v>0.86363636363636365</c:v>
                </c:pt>
                <c:pt idx="59">
                  <c:v>0.9285714285714286</c:v>
                </c:pt>
                <c:pt idx="60">
                  <c:v>0.81818181818181823</c:v>
                </c:pt>
                <c:pt idx="61">
                  <c:v>0.81818181818181823</c:v>
                </c:pt>
                <c:pt idx="62">
                  <c:v>1</c:v>
                </c:pt>
                <c:pt idx="63">
                  <c:v>0.81818181818181823</c:v>
                </c:pt>
                <c:pt idx="64">
                  <c:v>1</c:v>
                </c:pt>
                <c:pt idx="65">
                  <c:v>0.9</c:v>
                </c:pt>
                <c:pt idx="66">
                  <c:v>1</c:v>
                </c:pt>
                <c:pt idx="67">
                  <c:v>0.9</c:v>
                </c:pt>
                <c:pt idx="68">
                  <c:v>1</c:v>
                </c:pt>
                <c:pt idx="69">
                  <c:v>0.9</c:v>
                </c:pt>
                <c:pt idx="70">
                  <c:v>0.91666666666666663</c:v>
                </c:pt>
                <c:pt idx="71">
                  <c:v>0.8</c:v>
                </c:pt>
                <c:pt idx="72">
                  <c:v>0.9</c:v>
                </c:pt>
                <c:pt idx="73">
                  <c:v>0.875</c:v>
                </c:pt>
                <c:pt idx="74">
                  <c:v>0.8</c:v>
                </c:pt>
                <c:pt idx="75">
                  <c:v>0.83333333333333337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0.7142857142857143</c:v>
                </c:pt>
                <c:pt idx="82">
                  <c:v>0.83333333333333337</c:v>
                </c:pt>
                <c:pt idx="83">
                  <c:v>0.8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0.8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0.8</c:v>
                </c:pt>
                <c:pt idx="102">
                  <c:v>1</c:v>
                </c:pt>
                <c:pt idx="103">
                  <c:v>1</c:v>
                </c:pt>
                <c:pt idx="104">
                  <c:v>0.66666666666666663</c:v>
                </c:pt>
                <c:pt idx="105">
                  <c:v>1</c:v>
                </c:pt>
                <c:pt idx="106">
                  <c:v>0.66666666666666663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0.66666666666666663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0.66666666666666663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875-48E8-BA7F-76EEEB697044}"/>
            </c:ext>
          </c:extLst>
        </c:ser>
        <c:ser>
          <c:idx val="4"/>
          <c:order val="1"/>
          <c:tx>
            <c:strRef>
              <c:f>'Run Data'!$F$3</c:f>
              <c:strCache>
                <c:ptCount val="1"/>
                <c:pt idx="0">
                  <c:v>% Next Msg New User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'Run Data'!$F$4:$F$157</c:f>
              <c:numCache>
                <c:formatCode>0%</c:formatCode>
                <c:ptCount val="154"/>
                <c:pt idx="0">
                  <c:v>0.63302336594763198</c:v>
                </c:pt>
                <c:pt idx="1">
                  <c:v>0.61107135887595132</c:v>
                </c:pt>
                <c:pt idx="2">
                  <c:v>0.56518448178577818</c:v>
                </c:pt>
                <c:pt idx="3">
                  <c:v>0.50862182094958142</c:v>
                </c:pt>
                <c:pt idx="4">
                  <c:v>0.4615893164088325</c:v>
                </c:pt>
                <c:pt idx="5">
                  <c:v>0.42826448572220682</c:v>
                </c:pt>
                <c:pt idx="6">
                  <c:v>0.38372805226623113</c:v>
                </c:pt>
                <c:pt idx="7">
                  <c:v>0.36085409252669037</c:v>
                </c:pt>
                <c:pt idx="8">
                  <c:v>0.3352315869400152</c:v>
                </c:pt>
                <c:pt idx="9">
                  <c:v>0.33431085043988268</c:v>
                </c:pt>
                <c:pt idx="10">
                  <c:v>0.3093851132686084</c:v>
                </c:pt>
                <c:pt idx="11">
                  <c:v>0.28767123287671231</c:v>
                </c:pt>
                <c:pt idx="12">
                  <c:v>0.28282828282828282</c:v>
                </c:pt>
                <c:pt idx="13">
                  <c:v>0.27360192423331331</c:v>
                </c:pt>
                <c:pt idx="14">
                  <c:v>0.26727410782080485</c:v>
                </c:pt>
                <c:pt idx="15">
                  <c:v>0.2424778761061947</c:v>
                </c:pt>
                <c:pt idx="16">
                  <c:v>0.24645583424209377</c:v>
                </c:pt>
                <c:pt idx="17">
                  <c:v>0.22699386503067484</c:v>
                </c:pt>
                <c:pt idx="18">
                  <c:v>0.2191358024691358</c:v>
                </c:pt>
                <c:pt idx="19">
                  <c:v>0.19471947194719472</c:v>
                </c:pt>
                <c:pt idx="20">
                  <c:v>0.23921568627450981</c:v>
                </c:pt>
                <c:pt idx="21">
                  <c:v>0.18666666666666668</c:v>
                </c:pt>
                <c:pt idx="22">
                  <c:v>0.21243523316062177</c:v>
                </c:pt>
                <c:pt idx="23">
                  <c:v>0.18390804597701149</c:v>
                </c:pt>
                <c:pt idx="24">
                  <c:v>0.17525773195876287</c:v>
                </c:pt>
                <c:pt idx="25">
                  <c:v>0.14022140221402213</c:v>
                </c:pt>
                <c:pt idx="26">
                  <c:v>0.15126050420168066</c:v>
                </c:pt>
                <c:pt idx="27">
                  <c:v>0.15811965811965811</c:v>
                </c:pt>
                <c:pt idx="28">
                  <c:v>0.16666666666666666</c:v>
                </c:pt>
                <c:pt idx="29">
                  <c:v>0.15463917525773196</c:v>
                </c:pt>
                <c:pt idx="30">
                  <c:v>0.15625</c:v>
                </c:pt>
                <c:pt idx="31">
                  <c:v>0.12025316455696203</c:v>
                </c:pt>
                <c:pt idx="32">
                  <c:v>0.18309859154929578</c:v>
                </c:pt>
                <c:pt idx="33">
                  <c:v>0.15671641791044777</c:v>
                </c:pt>
                <c:pt idx="34">
                  <c:v>0.14414414414414414</c:v>
                </c:pt>
                <c:pt idx="35">
                  <c:v>0.12612612612612611</c:v>
                </c:pt>
                <c:pt idx="36">
                  <c:v>0.17346938775510204</c:v>
                </c:pt>
                <c:pt idx="37">
                  <c:v>0.17525773195876287</c:v>
                </c:pt>
                <c:pt idx="38">
                  <c:v>0.14666666666666667</c:v>
                </c:pt>
                <c:pt idx="39">
                  <c:v>0.1038961038961039</c:v>
                </c:pt>
                <c:pt idx="40">
                  <c:v>0.23287671232876711</c:v>
                </c:pt>
                <c:pt idx="41">
                  <c:v>8.771929824561403E-2</c:v>
                </c:pt>
                <c:pt idx="42">
                  <c:v>0.10526315789473684</c:v>
                </c:pt>
                <c:pt idx="43">
                  <c:v>0.13207547169811321</c:v>
                </c:pt>
                <c:pt idx="44">
                  <c:v>8.3333333333333329E-2</c:v>
                </c:pt>
                <c:pt idx="45">
                  <c:v>0.14285714285714285</c:v>
                </c:pt>
                <c:pt idx="46">
                  <c:v>0.11904761904761904</c:v>
                </c:pt>
                <c:pt idx="47">
                  <c:v>7.4999999999999997E-2</c:v>
                </c:pt>
                <c:pt idx="48">
                  <c:v>0.15</c:v>
                </c:pt>
                <c:pt idx="49">
                  <c:v>0.11428571428571428</c:v>
                </c:pt>
                <c:pt idx="50">
                  <c:v>6.25E-2</c:v>
                </c:pt>
                <c:pt idx="51">
                  <c:v>0.12121212121212122</c:v>
                </c:pt>
                <c:pt idx="52">
                  <c:v>0.10344827586206896</c:v>
                </c:pt>
                <c:pt idx="53">
                  <c:v>0</c:v>
                </c:pt>
                <c:pt idx="54">
                  <c:v>0.1875</c:v>
                </c:pt>
                <c:pt idx="55">
                  <c:v>0.13043478260869565</c:v>
                </c:pt>
                <c:pt idx="56">
                  <c:v>0.14814814814814814</c:v>
                </c:pt>
                <c:pt idx="57">
                  <c:v>0.2</c:v>
                </c:pt>
                <c:pt idx="58">
                  <c:v>0.13636363636363635</c:v>
                </c:pt>
                <c:pt idx="59">
                  <c:v>7.1428571428571425E-2</c:v>
                </c:pt>
                <c:pt idx="60">
                  <c:v>0.18181818181818182</c:v>
                </c:pt>
                <c:pt idx="61">
                  <c:v>0.18181818181818182</c:v>
                </c:pt>
                <c:pt idx="62">
                  <c:v>0</c:v>
                </c:pt>
                <c:pt idx="63">
                  <c:v>0.18181818181818182</c:v>
                </c:pt>
                <c:pt idx="64">
                  <c:v>0</c:v>
                </c:pt>
                <c:pt idx="65">
                  <c:v>0.1</c:v>
                </c:pt>
                <c:pt idx="66">
                  <c:v>0</c:v>
                </c:pt>
                <c:pt idx="67">
                  <c:v>0.1</c:v>
                </c:pt>
                <c:pt idx="68">
                  <c:v>0</c:v>
                </c:pt>
                <c:pt idx="69">
                  <c:v>0.1</c:v>
                </c:pt>
                <c:pt idx="70">
                  <c:v>8.3333333333333329E-2</c:v>
                </c:pt>
                <c:pt idx="71">
                  <c:v>0.2</c:v>
                </c:pt>
                <c:pt idx="72">
                  <c:v>0.1</c:v>
                </c:pt>
                <c:pt idx="73">
                  <c:v>0.125</c:v>
                </c:pt>
                <c:pt idx="74">
                  <c:v>0.2</c:v>
                </c:pt>
                <c:pt idx="75">
                  <c:v>0.16666666666666666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0.2857142857142857</c:v>
                </c:pt>
                <c:pt idx="82">
                  <c:v>0.16666666666666666</c:v>
                </c:pt>
                <c:pt idx="83">
                  <c:v>0.2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0.2</c:v>
                </c:pt>
                <c:pt idx="102">
                  <c:v>0</c:v>
                </c:pt>
                <c:pt idx="103">
                  <c:v>0</c:v>
                </c:pt>
                <c:pt idx="104">
                  <c:v>0.33333333333333331</c:v>
                </c:pt>
                <c:pt idx="105">
                  <c:v>0</c:v>
                </c:pt>
                <c:pt idx="106">
                  <c:v>0.33333333333333331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0.33333333333333331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0.33333333333333331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875-48E8-BA7F-76EEEB697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0611520"/>
        <c:axId val="2000593280"/>
      </c:lineChart>
      <c:catAx>
        <c:axId val="2000611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593280"/>
        <c:crosses val="autoZero"/>
        <c:auto val="1"/>
        <c:lblAlgn val="ctr"/>
        <c:lblOffset val="100"/>
        <c:noMultiLvlLbl val="0"/>
      </c:catAx>
      <c:valAx>
        <c:axId val="20005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61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176212</xdr:colOff>
      <xdr:row>0</xdr:row>
      <xdr:rowOff>90488</xdr:rowOff>
    </xdr:from>
    <xdr:to>
      <xdr:col>16</xdr:col>
      <xdr:colOff>466723</xdr:colOff>
      <xdr:row>22</xdr:row>
      <xdr:rowOff>147638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BCA816-DE6D-406C-AA9F-8B6F0A530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157"/>
  <sheetViews>
    <sheetView tabSelected="1" workbookViewId="0">
      <selection activeCell="F6" sqref="F6"/>
    </sheetView>
  </sheetViews>
  <sheetFormatPr defaultRowHeight="14.25" x14ac:dyDescent="0.45"/>
  <cols>
    <col min="1" max="1" width="10.06640625" bestFit="1" customWidth="1"/>
    <col min="2" max="2" width="19.33203125" bestFit="1" customWidth="1"/>
    <col min="3" max="3" width="22.3984375" bestFit="1" customWidth="1"/>
    <col min="4" max="4" width="17.6640625" bestFit="1" customWidth="1"/>
    <col min="5" max="5" width="20.06640625" style="1" bestFit="1" customWidth="1"/>
    <col min="6" max="6" width="17.46484375" style="1" bestFit="1" customWidth="1"/>
    <col min="9" max="10" width="10.46484375" customWidth="1"/>
    <col min="12" max="12" width="18.3984375" customWidth="1"/>
  </cols>
  <sheetData>
    <row r="3" spans="1:13" x14ac:dyDescent="0.45">
      <c r="A3" t="s">
        <v>0</v>
      </c>
      <c r="B3" t="s">
        <v>1</v>
      </c>
      <c r="C3" t="s">
        <v>2</v>
      </c>
      <c r="D3" t="s">
        <v>3</v>
      </c>
      <c r="E3" s="1" t="s">
        <v>5</v>
      </c>
      <c r="F3" s="1" t="s">
        <v>4</v>
      </c>
      <c r="H3" t="s">
        <v>6</v>
      </c>
      <c r="I3" t="s">
        <v>162</v>
      </c>
      <c r="J3" t="s">
        <v>164</v>
      </c>
      <c r="K3" t="s">
        <v>161</v>
      </c>
      <c r="L3" t="s">
        <v>163</v>
      </c>
    </row>
    <row r="4" spans="1:13" x14ac:dyDescent="0.45">
      <c r="A4">
        <v>2</v>
      </c>
      <c r="B4">
        <v>125535</v>
      </c>
      <c r="C4">
        <v>216544</v>
      </c>
      <c r="D4">
        <v>342079</v>
      </c>
      <c r="E4" s="1">
        <f>B4/D4</f>
        <v>0.36697663405236802</v>
      </c>
      <c r="F4" s="1">
        <f>C4/D4</f>
        <v>0.63302336594763198</v>
      </c>
      <c r="H4" t="s">
        <v>7</v>
      </c>
      <c r="I4">
        <f>B4</f>
        <v>125535</v>
      </c>
      <c r="J4">
        <f>C4</f>
        <v>216544</v>
      </c>
      <c r="K4">
        <f>D4</f>
        <v>342079</v>
      </c>
      <c r="L4" s="1">
        <f>I4/K4</f>
        <v>0.36697663405236802</v>
      </c>
      <c r="M4">
        <f>SUM(D:D)</f>
        <v>689946</v>
      </c>
    </row>
    <row r="5" spans="1:13" x14ac:dyDescent="0.45">
      <c r="A5">
        <v>3</v>
      </c>
      <c r="B5">
        <v>59790</v>
      </c>
      <c r="C5">
        <v>93940</v>
      </c>
      <c r="D5">
        <v>153730</v>
      </c>
      <c r="E5" s="1">
        <f t="shared" ref="E5:E68" si="0">B5/D5</f>
        <v>0.38892864112404868</v>
      </c>
      <c r="F5" s="1">
        <f t="shared" ref="F5:F68" si="1">C5/D5</f>
        <v>0.61107135887595132</v>
      </c>
      <c r="H5" t="s">
        <v>8</v>
      </c>
      <c r="I5">
        <f>B5+I4</f>
        <v>185325</v>
      </c>
      <c r="J5">
        <f>C5+J4</f>
        <v>310484</v>
      </c>
      <c r="K5">
        <f>C5+K4</f>
        <v>436019</v>
      </c>
      <c r="L5" s="1">
        <f t="shared" ref="L5:L24" si="2">I5/K5</f>
        <v>0.42503881711576791</v>
      </c>
      <c r="M5">
        <f t="shared" ref="M5:M68" si="3">SUM(D:D)</f>
        <v>689946</v>
      </c>
    </row>
    <row r="6" spans="1:13" x14ac:dyDescent="0.45">
      <c r="A6">
        <v>4</v>
      </c>
      <c r="B6">
        <v>31595</v>
      </c>
      <c r="C6">
        <v>41068</v>
      </c>
      <c r="D6">
        <v>72663</v>
      </c>
      <c r="E6" s="1">
        <f t="shared" si="0"/>
        <v>0.43481551821422182</v>
      </c>
      <c r="F6" s="1">
        <f t="shared" si="1"/>
        <v>0.56518448178577818</v>
      </c>
      <c r="H6" t="s">
        <v>9</v>
      </c>
      <c r="I6">
        <f t="shared" ref="I6:I18" si="4">B6+I5</f>
        <v>216920</v>
      </c>
      <c r="J6">
        <f t="shared" ref="J6:J69" si="5">C6+J5</f>
        <v>351552</v>
      </c>
      <c r="K6">
        <f t="shared" ref="K6:K18" si="6">C6+K5</f>
        <v>477087</v>
      </c>
      <c r="L6" s="1">
        <f t="shared" si="2"/>
        <v>0.45467598152957428</v>
      </c>
      <c r="M6">
        <f t="shared" si="3"/>
        <v>689946</v>
      </c>
    </row>
    <row r="7" spans="1:13" x14ac:dyDescent="0.45">
      <c r="A7">
        <v>5</v>
      </c>
      <c r="B7">
        <v>18722</v>
      </c>
      <c r="C7">
        <v>19379</v>
      </c>
      <c r="D7">
        <v>38101</v>
      </c>
      <c r="E7" s="1">
        <f t="shared" si="0"/>
        <v>0.49137817905041864</v>
      </c>
      <c r="F7" s="1">
        <f t="shared" si="1"/>
        <v>0.50862182094958142</v>
      </c>
      <c r="H7" t="s">
        <v>10</v>
      </c>
      <c r="I7">
        <f t="shared" si="4"/>
        <v>235642</v>
      </c>
      <c r="J7">
        <f t="shared" si="5"/>
        <v>370931</v>
      </c>
      <c r="K7">
        <f t="shared" si="6"/>
        <v>496466</v>
      </c>
      <c r="L7" s="1">
        <f t="shared" si="2"/>
        <v>0.47463874666140282</v>
      </c>
      <c r="M7">
        <f t="shared" si="3"/>
        <v>689946</v>
      </c>
    </row>
    <row r="8" spans="1:13" x14ac:dyDescent="0.45">
      <c r="A8">
        <v>6</v>
      </c>
      <c r="B8">
        <v>12216</v>
      </c>
      <c r="C8">
        <v>10473</v>
      </c>
      <c r="D8">
        <v>22689</v>
      </c>
      <c r="E8" s="1">
        <f t="shared" si="0"/>
        <v>0.5384106835911675</v>
      </c>
      <c r="F8" s="1">
        <f t="shared" si="1"/>
        <v>0.4615893164088325</v>
      </c>
      <c r="H8" t="s">
        <v>11</v>
      </c>
      <c r="I8">
        <f t="shared" si="4"/>
        <v>247858</v>
      </c>
      <c r="J8">
        <f t="shared" si="5"/>
        <v>381404</v>
      </c>
      <c r="K8">
        <f t="shared" si="6"/>
        <v>506939</v>
      </c>
      <c r="L8" s="1">
        <f t="shared" si="2"/>
        <v>0.48893062084392797</v>
      </c>
      <c r="M8">
        <f t="shared" si="3"/>
        <v>689946</v>
      </c>
    </row>
    <row r="9" spans="1:13" x14ac:dyDescent="0.45">
      <c r="A9">
        <v>7</v>
      </c>
      <c r="B9">
        <v>8249</v>
      </c>
      <c r="C9">
        <v>6179</v>
      </c>
      <c r="D9">
        <v>14428</v>
      </c>
      <c r="E9" s="1">
        <f t="shared" si="0"/>
        <v>0.57173551427779323</v>
      </c>
      <c r="F9" s="1">
        <f t="shared" si="1"/>
        <v>0.42826448572220682</v>
      </c>
      <c r="H9" t="s">
        <v>12</v>
      </c>
      <c r="I9">
        <f t="shared" si="4"/>
        <v>256107</v>
      </c>
      <c r="J9">
        <f t="shared" si="5"/>
        <v>387583</v>
      </c>
      <c r="K9">
        <f t="shared" si="6"/>
        <v>513118</v>
      </c>
      <c r="L9" s="1">
        <f t="shared" si="2"/>
        <v>0.49911911100370676</v>
      </c>
      <c r="M9">
        <f t="shared" si="3"/>
        <v>689946</v>
      </c>
    </row>
    <row r="10" spans="1:13" x14ac:dyDescent="0.45">
      <c r="A10">
        <v>8</v>
      </c>
      <c r="B10">
        <v>6037</v>
      </c>
      <c r="C10">
        <v>3759</v>
      </c>
      <c r="D10">
        <v>9796</v>
      </c>
      <c r="E10" s="1">
        <f t="shared" si="0"/>
        <v>0.61627194773376892</v>
      </c>
      <c r="F10" s="1">
        <f t="shared" si="1"/>
        <v>0.38372805226623113</v>
      </c>
      <c r="H10" t="s">
        <v>13</v>
      </c>
      <c r="I10">
        <f t="shared" si="4"/>
        <v>262144</v>
      </c>
      <c r="J10">
        <f t="shared" si="5"/>
        <v>391342</v>
      </c>
      <c r="K10">
        <f t="shared" si="6"/>
        <v>516877</v>
      </c>
      <c r="L10" s="1">
        <f t="shared" si="2"/>
        <v>0.50716901700017603</v>
      </c>
      <c r="M10">
        <f t="shared" si="3"/>
        <v>689946</v>
      </c>
    </row>
    <row r="11" spans="1:13" x14ac:dyDescent="0.45">
      <c r="A11">
        <v>9</v>
      </c>
      <c r="B11">
        <v>4490</v>
      </c>
      <c r="C11">
        <v>2535</v>
      </c>
      <c r="D11">
        <v>7025</v>
      </c>
      <c r="E11" s="1">
        <f t="shared" si="0"/>
        <v>0.63914590747330957</v>
      </c>
      <c r="F11" s="1">
        <f t="shared" si="1"/>
        <v>0.36085409252669037</v>
      </c>
      <c r="H11" t="s">
        <v>14</v>
      </c>
      <c r="I11">
        <f t="shared" si="4"/>
        <v>266634</v>
      </c>
      <c r="J11">
        <f t="shared" si="5"/>
        <v>393877</v>
      </c>
      <c r="K11">
        <f t="shared" si="6"/>
        <v>519412</v>
      </c>
      <c r="L11" s="1">
        <f t="shared" si="2"/>
        <v>0.51333815930321214</v>
      </c>
      <c r="M11">
        <f t="shared" si="3"/>
        <v>689946</v>
      </c>
    </row>
    <row r="12" spans="1:13" x14ac:dyDescent="0.45">
      <c r="A12">
        <v>10</v>
      </c>
      <c r="B12">
        <v>3502</v>
      </c>
      <c r="C12">
        <v>1766</v>
      </c>
      <c r="D12">
        <v>5268</v>
      </c>
      <c r="E12" s="1">
        <f t="shared" si="0"/>
        <v>0.6647684130599848</v>
      </c>
      <c r="F12" s="1">
        <f t="shared" si="1"/>
        <v>0.3352315869400152</v>
      </c>
      <c r="H12" t="s">
        <v>15</v>
      </c>
      <c r="I12">
        <f t="shared" si="4"/>
        <v>270136</v>
      </c>
      <c r="J12">
        <f t="shared" si="5"/>
        <v>395643</v>
      </c>
      <c r="K12">
        <f t="shared" si="6"/>
        <v>521178</v>
      </c>
      <c r="L12" s="1">
        <f t="shared" si="2"/>
        <v>0.51831811780236314</v>
      </c>
      <c r="M12">
        <f t="shared" si="3"/>
        <v>689946</v>
      </c>
    </row>
    <row r="13" spans="1:13" x14ac:dyDescent="0.45">
      <c r="A13">
        <v>11</v>
      </c>
      <c r="B13">
        <v>2724</v>
      </c>
      <c r="C13">
        <v>1368</v>
      </c>
      <c r="D13">
        <v>4092</v>
      </c>
      <c r="E13" s="1">
        <f t="shared" si="0"/>
        <v>0.66568914956011727</v>
      </c>
      <c r="F13" s="1">
        <f t="shared" si="1"/>
        <v>0.33431085043988268</v>
      </c>
      <c r="H13" t="s">
        <v>16</v>
      </c>
      <c r="I13">
        <f t="shared" si="4"/>
        <v>272860</v>
      </c>
      <c r="J13">
        <f t="shared" si="5"/>
        <v>397011</v>
      </c>
      <c r="K13">
        <f t="shared" si="6"/>
        <v>522546</v>
      </c>
      <c r="L13" s="1">
        <f t="shared" si="2"/>
        <v>0.5221741243833079</v>
      </c>
      <c r="M13">
        <f t="shared" si="3"/>
        <v>689946</v>
      </c>
    </row>
    <row r="14" spans="1:13" x14ac:dyDescent="0.45">
      <c r="A14">
        <v>12</v>
      </c>
      <c r="B14">
        <v>2134</v>
      </c>
      <c r="C14">
        <v>956</v>
      </c>
      <c r="D14">
        <v>3090</v>
      </c>
      <c r="E14" s="1">
        <f t="shared" si="0"/>
        <v>0.6906148867313916</v>
      </c>
      <c r="F14" s="1">
        <f t="shared" si="1"/>
        <v>0.3093851132686084</v>
      </c>
      <c r="H14" t="s">
        <v>17</v>
      </c>
      <c r="I14">
        <f t="shared" si="4"/>
        <v>274994</v>
      </c>
      <c r="J14">
        <f t="shared" si="5"/>
        <v>397967</v>
      </c>
      <c r="K14">
        <f t="shared" si="6"/>
        <v>523502</v>
      </c>
      <c r="L14" s="1">
        <f t="shared" si="2"/>
        <v>0.52529694251406867</v>
      </c>
      <c r="M14">
        <f t="shared" si="3"/>
        <v>689946</v>
      </c>
    </row>
    <row r="15" spans="1:13" x14ac:dyDescent="0.45">
      <c r="A15">
        <v>13</v>
      </c>
      <c r="B15">
        <v>1768</v>
      </c>
      <c r="C15">
        <v>714</v>
      </c>
      <c r="D15">
        <v>2482</v>
      </c>
      <c r="E15" s="1">
        <f t="shared" si="0"/>
        <v>0.71232876712328763</v>
      </c>
      <c r="F15" s="1">
        <f t="shared" si="1"/>
        <v>0.28767123287671231</v>
      </c>
      <c r="H15" t="s">
        <v>18</v>
      </c>
      <c r="I15">
        <f t="shared" si="4"/>
        <v>276762</v>
      </c>
      <c r="J15">
        <f t="shared" si="5"/>
        <v>398681</v>
      </c>
      <c r="K15">
        <f t="shared" si="6"/>
        <v>524216</v>
      </c>
      <c r="L15" s="1">
        <f t="shared" si="2"/>
        <v>0.52795412578021272</v>
      </c>
      <c r="M15">
        <f t="shared" si="3"/>
        <v>689946</v>
      </c>
    </row>
    <row r="16" spans="1:13" x14ac:dyDescent="0.45">
      <c r="A16">
        <v>14</v>
      </c>
      <c r="B16">
        <v>1420</v>
      </c>
      <c r="C16">
        <v>560</v>
      </c>
      <c r="D16">
        <v>1980</v>
      </c>
      <c r="E16" s="1">
        <f t="shared" si="0"/>
        <v>0.71717171717171713</v>
      </c>
      <c r="F16" s="1">
        <f t="shared" si="1"/>
        <v>0.28282828282828282</v>
      </c>
      <c r="H16" t="s">
        <v>19</v>
      </c>
      <c r="I16">
        <f t="shared" si="4"/>
        <v>278182</v>
      </c>
      <c r="J16">
        <f t="shared" si="5"/>
        <v>399241</v>
      </c>
      <c r="K16">
        <f t="shared" si="6"/>
        <v>524776</v>
      </c>
      <c r="L16" s="1">
        <f t="shared" si="2"/>
        <v>0.53009665076146772</v>
      </c>
      <c r="M16">
        <f t="shared" si="3"/>
        <v>689946</v>
      </c>
    </row>
    <row r="17" spans="1:13" x14ac:dyDescent="0.45">
      <c r="A17">
        <v>15</v>
      </c>
      <c r="B17">
        <v>1208</v>
      </c>
      <c r="C17">
        <v>455</v>
      </c>
      <c r="D17">
        <v>1663</v>
      </c>
      <c r="E17" s="1">
        <f t="shared" si="0"/>
        <v>0.72639807576668669</v>
      </c>
      <c r="F17" s="1">
        <f t="shared" si="1"/>
        <v>0.27360192423331331</v>
      </c>
      <c r="H17" t="s">
        <v>20</v>
      </c>
      <c r="I17">
        <f t="shared" si="4"/>
        <v>279390</v>
      </c>
      <c r="J17">
        <f t="shared" si="5"/>
        <v>399696</v>
      </c>
      <c r="K17">
        <f t="shared" si="6"/>
        <v>525231</v>
      </c>
      <c r="L17" s="1">
        <f t="shared" si="2"/>
        <v>0.53193737612593317</v>
      </c>
      <c r="M17">
        <f t="shared" si="3"/>
        <v>689946</v>
      </c>
    </row>
    <row r="18" spans="1:13" x14ac:dyDescent="0.45">
      <c r="A18">
        <v>16</v>
      </c>
      <c r="B18">
        <v>965</v>
      </c>
      <c r="C18">
        <v>352</v>
      </c>
      <c r="D18">
        <v>1317</v>
      </c>
      <c r="E18" s="1">
        <f t="shared" si="0"/>
        <v>0.73272589217919515</v>
      </c>
      <c r="F18" s="1">
        <f t="shared" si="1"/>
        <v>0.26727410782080485</v>
      </c>
      <c r="H18" t="s">
        <v>21</v>
      </c>
      <c r="I18">
        <f t="shared" si="4"/>
        <v>280355</v>
      </c>
      <c r="J18">
        <f t="shared" si="5"/>
        <v>400048</v>
      </c>
      <c r="K18">
        <f t="shared" si="6"/>
        <v>525583</v>
      </c>
      <c r="L18" s="1">
        <f t="shared" si="2"/>
        <v>0.53341717673516842</v>
      </c>
      <c r="M18">
        <f t="shared" si="3"/>
        <v>689946</v>
      </c>
    </row>
    <row r="19" spans="1:13" x14ac:dyDescent="0.45">
      <c r="A19">
        <v>17</v>
      </c>
      <c r="B19">
        <v>856</v>
      </c>
      <c r="C19">
        <v>274</v>
      </c>
      <c r="D19">
        <v>1130</v>
      </c>
      <c r="E19" s="1">
        <f t="shared" si="0"/>
        <v>0.75752212389380535</v>
      </c>
      <c r="F19" s="1">
        <f t="shared" si="1"/>
        <v>0.2424778761061947</v>
      </c>
      <c r="H19" t="s">
        <v>22</v>
      </c>
      <c r="I19">
        <f>B19+I18</f>
        <v>281211</v>
      </c>
      <c r="J19">
        <f t="shared" si="5"/>
        <v>400322</v>
      </c>
      <c r="K19">
        <f>C19+K18</f>
        <v>525857</v>
      </c>
      <c r="L19" s="1">
        <f t="shared" si="2"/>
        <v>0.53476705644310141</v>
      </c>
      <c r="M19">
        <f t="shared" si="3"/>
        <v>689946</v>
      </c>
    </row>
    <row r="20" spans="1:13" x14ac:dyDescent="0.45">
      <c r="A20">
        <v>18</v>
      </c>
      <c r="B20">
        <v>691</v>
      </c>
      <c r="C20">
        <v>226</v>
      </c>
      <c r="D20">
        <v>917</v>
      </c>
      <c r="E20" s="1">
        <f t="shared" si="0"/>
        <v>0.75354416575790617</v>
      </c>
      <c r="F20" s="1">
        <f t="shared" si="1"/>
        <v>0.24645583424209377</v>
      </c>
      <c r="H20" t="s">
        <v>23</v>
      </c>
      <c r="I20">
        <f t="shared" ref="I20:I26" si="7">B20+I19</f>
        <v>281902</v>
      </c>
      <c r="J20">
        <f t="shared" si="5"/>
        <v>400548</v>
      </c>
      <c r="K20">
        <f t="shared" ref="K20:K26" si="8">C20+K19</f>
        <v>526083</v>
      </c>
      <c r="L20" s="1">
        <f t="shared" si="2"/>
        <v>0.53585080681185293</v>
      </c>
      <c r="M20">
        <f t="shared" si="3"/>
        <v>689946</v>
      </c>
    </row>
    <row r="21" spans="1:13" x14ac:dyDescent="0.45">
      <c r="A21">
        <v>19</v>
      </c>
      <c r="B21">
        <v>630</v>
      </c>
      <c r="C21">
        <v>185</v>
      </c>
      <c r="D21">
        <v>815</v>
      </c>
      <c r="E21" s="1">
        <f t="shared" si="0"/>
        <v>0.77300613496932513</v>
      </c>
      <c r="F21" s="1">
        <f t="shared" si="1"/>
        <v>0.22699386503067484</v>
      </c>
      <c r="H21" t="s">
        <v>24</v>
      </c>
      <c r="I21">
        <f t="shared" si="7"/>
        <v>282532</v>
      </c>
      <c r="J21">
        <f t="shared" si="5"/>
        <v>400733</v>
      </c>
      <c r="K21">
        <f t="shared" si="8"/>
        <v>526268</v>
      </c>
      <c r="L21" s="1">
        <f t="shared" si="2"/>
        <v>0.53685954684685366</v>
      </c>
      <c r="M21">
        <f t="shared" si="3"/>
        <v>689946</v>
      </c>
    </row>
    <row r="22" spans="1:13" x14ac:dyDescent="0.45">
      <c r="A22">
        <v>20</v>
      </c>
      <c r="B22">
        <v>506</v>
      </c>
      <c r="C22">
        <v>142</v>
      </c>
      <c r="D22">
        <v>648</v>
      </c>
      <c r="E22" s="1">
        <f t="shared" si="0"/>
        <v>0.78086419753086422</v>
      </c>
      <c r="F22" s="1">
        <f t="shared" si="1"/>
        <v>0.2191358024691358</v>
      </c>
      <c r="H22" t="s">
        <v>25</v>
      </c>
      <c r="I22">
        <f t="shared" si="7"/>
        <v>283038</v>
      </c>
      <c r="J22">
        <f t="shared" si="5"/>
        <v>400875</v>
      </c>
      <c r="K22">
        <f t="shared" si="8"/>
        <v>526410</v>
      </c>
      <c r="L22" s="1">
        <f t="shared" si="2"/>
        <v>0.5376759560038753</v>
      </c>
      <c r="M22">
        <f t="shared" si="3"/>
        <v>689946</v>
      </c>
    </row>
    <row r="23" spans="1:13" x14ac:dyDescent="0.45">
      <c r="A23">
        <v>21</v>
      </c>
      <c r="B23">
        <v>488</v>
      </c>
      <c r="C23">
        <v>118</v>
      </c>
      <c r="D23">
        <v>606</v>
      </c>
      <c r="E23" s="1">
        <f t="shared" si="0"/>
        <v>0.80528052805280526</v>
      </c>
      <c r="F23" s="1">
        <f t="shared" si="1"/>
        <v>0.19471947194719472</v>
      </c>
      <c r="H23" t="s">
        <v>26</v>
      </c>
      <c r="I23">
        <f t="shared" si="7"/>
        <v>283526</v>
      </c>
      <c r="J23">
        <f t="shared" si="5"/>
        <v>400993</v>
      </c>
      <c r="K23">
        <f t="shared" si="8"/>
        <v>526528</v>
      </c>
      <c r="L23" s="1">
        <f>I23/K23</f>
        <v>0.53848228394311415</v>
      </c>
      <c r="M23">
        <f t="shared" si="3"/>
        <v>689946</v>
      </c>
    </row>
    <row r="24" spans="1:13" x14ac:dyDescent="0.45">
      <c r="A24">
        <v>22</v>
      </c>
      <c r="B24">
        <v>388</v>
      </c>
      <c r="C24">
        <v>122</v>
      </c>
      <c r="D24">
        <v>510</v>
      </c>
      <c r="E24" s="1">
        <f t="shared" si="0"/>
        <v>0.76078431372549016</v>
      </c>
      <c r="F24" s="1">
        <f t="shared" si="1"/>
        <v>0.23921568627450981</v>
      </c>
      <c r="H24" t="s">
        <v>27</v>
      </c>
      <c r="I24">
        <f t="shared" si="7"/>
        <v>283914</v>
      </c>
      <c r="J24">
        <f t="shared" si="5"/>
        <v>401115</v>
      </c>
      <c r="K24">
        <f t="shared" si="8"/>
        <v>526650</v>
      </c>
      <c r="L24" s="1">
        <f t="shared" si="2"/>
        <v>0.53909427513528907</v>
      </c>
      <c r="M24">
        <f t="shared" si="3"/>
        <v>689946</v>
      </c>
    </row>
    <row r="25" spans="1:13" x14ac:dyDescent="0.45">
      <c r="A25">
        <v>23</v>
      </c>
      <c r="B25">
        <v>366</v>
      </c>
      <c r="C25">
        <v>84</v>
      </c>
      <c r="D25">
        <v>450</v>
      </c>
      <c r="E25" s="1">
        <f t="shared" si="0"/>
        <v>0.81333333333333335</v>
      </c>
      <c r="F25" s="1">
        <f t="shared" si="1"/>
        <v>0.18666666666666668</v>
      </c>
      <c r="H25" t="s">
        <v>28</v>
      </c>
      <c r="I25">
        <f t="shared" si="7"/>
        <v>284280</v>
      </c>
      <c r="J25">
        <f t="shared" si="5"/>
        <v>401199</v>
      </c>
      <c r="K25">
        <f t="shared" si="8"/>
        <v>526734</v>
      </c>
      <c r="L25" s="1">
        <f t="shared" ref="L25:L30" si="9">I25/K25</f>
        <v>0.53970315187551976</v>
      </c>
      <c r="M25">
        <f t="shared" si="3"/>
        <v>689946</v>
      </c>
    </row>
    <row r="26" spans="1:13" x14ac:dyDescent="0.45">
      <c r="A26">
        <v>24</v>
      </c>
      <c r="B26">
        <v>304</v>
      </c>
      <c r="C26">
        <v>82</v>
      </c>
      <c r="D26">
        <v>386</v>
      </c>
      <c r="E26" s="1">
        <f t="shared" si="0"/>
        <v>0.78756476683937826</v>
      </c>
      <c r="F26" s="1">
        <f t="shared" si="1"/>
        <v>0.21243523316062177</v>
      </c>
      <c r="H26" t="s">
        <v>29</v>
      </c>
      <c r="I26">
        <f t="shared" si="7"/>
        <v>284584</v>
      </c>
      <c r="J26">
        <f t="shared" si="5"/>
        <v>401281</v>
      </c>
      <c r="K26">
        <f t="shared" si="8"/>
        <v>526816</v>
      </c>
      <c r="L26" s="1">
        <f t="shared" si="9"/>
        <v>0.54019619753386383</v>
      </c>
      <c r="M26">
        <f t="shared" si="3"/>
        <v>689946</v>
      </c>
    </row>
    <row r="27" spans="1:13" x14ac:dyDescent="0.45">
      <c r="A27">
        <v>25</v>
      </c>
      <c r="B27">
        <v>284</v>
      </c>
      <c r="C27">
        <v>64</v>
      </c>
      <c r="D27">
        <v>348</v>
      </c>
      <c r="E27" s="1">
        <f t="shared" si="0"/>
        <v>0.81609195402298851</v>
      </c>
      <c r="F27" s="1">
        <f t="shared" si="1"/>
        <v>0.18390804597701149</v>
      </c>
      <c r="H27" t="s">
        <v>30</v>
      </c>
      <c r="I27">
        <f t="shared" ref="I27:I90" si="10">B27+I26</f>
        <v>284868</v>
      </c>
      <c r="J27">
        <f t="shared" si="5"/>
        <v>401345</v>
      </c>
      <c r="K27">
        <f t="shared" ref="K27:K90" si="11">C27+K26</f>
        <v>526880</v>
      </c>
      <c r="L27" s="1">
        <f t="shared" si="9"/>
        <v>0.5406696021864561</v>
      </c>
      <c r="M27">
        <f t="shared" si="3"/>
        <v>689946</v>
      </c>
    </row>
    <row r="28" spans="1:13" x14ac:dyDescent="0.45">
      <c r="A28">
        <v>26</v>
      </c>
      <c r="B28">
        <v>240</v>
      </c>
      <c r="C28">
        <v>51</v>
      </c>
      <c r="D28">
        <v>291</v>
      </c>
      <c r="E28" s="1">
        <f t="shared" si="0"/>
        <v>0.82474226804123707</v>
      </c>
      <c r="F28" s="1">
        <f t="shared" si="1"/>
        <v>0.17525773195876287</v>
      </c>
      <c r="H28" t="s">
        <v>31</v>
      </c>
      <c r="I28">
        <f t="shared" si="10"/>
        <v>285108</v>
      </c>
      <c r="J28">
        <f t="shared" si="5"/>
        <v>401396</v>
      </c>
      <c r="K28">
        <f t="shared" si="11"/>
        <v>526931</v>
      </c>
      <c r="L28" s="1">
        <f t="shared" si="9"/>
        <v>0.54107274007412731</v>
      </c>
      <c r="M28">
        <f t="shared" si="3"/>
        <v>689946</v>
      </c>
    </row>
    <row r="29" spans="1:13" x14ac:dyDescent="0.45">
      <c r="A29">
        <v>27</v>
      </c>
      <c r="B29">
        <v>233</v>
      </c>
      <c r="C29">
        <v>38</v>
      </c>
      <c r="D29">
        <v>271</v>
      </c>
      <c r="E29" s="1">
        <f t="shared" si="0"/>
        <v>0.85977859778597787</v>
      </c>
      <c r="F29" s="1">
        <f t="shared" si="1"/>
        <v>0.14022140221402213</v>
      </c>
      <c r="H29" t="s">
        <v>32</v>
      </c>
      <c r="I29">
        <f t="shared" si="10"/>
        <v>285341</v>
      </c>
      <c r="J29">
        <f t="shared" si="5"/>
        <v>401434</v>
      </c>
      <c r="K29">
        <f t="shared" si="11"/>
        <v>526969</v>
      </c>
      <c r="L29" s="1">
        <f t="shared" si="9"/>
        <v>0.54147587429241573</v>
      </c>
      <c r="M29">
        <f t="shared" si="3"/>
        <v>689946</v>
      </c>
    </row>
    <row r="30" spans="1:13" x14ac:dyDescent="0.45">
      <c r="A30">
        <v>28</v>
      </c>
      <c r="B30">
        <v>202</v>
      </c>
      <c r="C30">
        <v>36</v>
      </c>
      <c r="D30">
        <v>238</v>
      </c>
      <c r="E30" s="1">
        <f t="shared" si="0"/>
        <v>0.84873949579831931</v>
      </c>
      <c r="F30" s="1">
        <f t="shared" si="1"/>
        <v>0.15126050420168066</v>
      </c>
      <c r="H30" t="s">
        <v>33</v>
      </c>
      <c r="I30">
        <f t="shared" si="10"/>
        <v>285543</v>
      </c>
      <c r="J30">
        <f t="shared" si="5"/>
        <v>401470</v>
      </c>
      <c r="K30">
        <f t="shared" si="11"/>
        <v>527005</v>
      </c>
      <c r="L30" s="1">
        <f t="shared" si="9"/>
        <v>0.54182218385024805</v>
      </c>
      <c r="M30">
        <f t="shared" si="3"/>
        <v>689946</v>
      </c>
    </row>
    <row r="31" spans="1:13" x14ac:dyDescent="0.45">
      <c r="A31">
        <v>29</v>
      </c>
      <c r="B31">
        <v>197</v>
      </c>
      <c r="C31">
        <v>37</v>
      </c>
      <c r="D31">
        <v>234</v>
      </c>
      <c r="E31" s="1">
        <f t="shared" si="0"/>
        <v>0.84188034188034189</v>
      </c>
      <c r="F31" s="1">
        <f t="shared" si="1"/>
        <v>0.15811965811965811</v>
      </c>
      <c r="H31" t="s">
        <v>34</v>
      </c>
      <c r="I31">
        <f t="shared" si="10"/>
        <v>285740</v>
      </c>
      <c r="J31">
        <f t="shared" si="5"/>
        <v>401507</v>
      </c>
      <c r="K31">
        <f t="shared" si="11"/>
        <v>527042</v>
      </c>
      <c r="L31" s="1">
        <f t="shared" ref="L31:L94" si="12">I31/K31</f>
        <v>0.54215793048751337</v>
      </c>
      <c r="M31">
        <f t="shared" si="3"/>
        <v>689946</v>
      </c>
    </row>
    <row r="32" spans="1:13" x14ac:dyDescent="0.45">
      <c r="A32">
        <v>30</v>
      </c>
      <c r="B32">
        <v>165</v>
      </c>
      <c r="C32">
        <v>33</v>
      </c>
      <c r="D32">
        <v>198</v>
      </c>
      <c r="E32" s="1">
        <f t="shared" si="0"/>
        <v>0.83333333333333337</v>
      </c>
      <c r="F32" s="1">
        <f t="shared" si="1"/>
        <v>0.16666666666666666</v>
      </c>
      <c r="H32" t="s">
        <v>35</v>
      </c>
      <c r="I32">
        <f t="shared" si="10"/>
        <v>285905</v>
      </c>
      <c r="J32">
        <f t="shared" si="5"/>
        <v>401540</v>
      </c>
      <c r="K32">
        <f t="shared" si="11"/>
        <v>527075</v>
      </c>
      <c r="L32" s="1">
        <f t="shared" si="12"/>
        <v>0.54243703457762182</v>
      </c>
      <c r="M32">
        <f t="shared" si="3"/>
        <v>689946</v>
      </c>
    </row>
    <row r="33" spans="1:13" x14ac:dyDescent="0.45">
      <c r="A33">
        <v>31</v>
      </c>
      <c r="B33">
        <v>164</v>
      </c>
      <c r="C33">
        <v>30</v>
      </c>
      <c r="D33">
        <v>194</v>
      </c>
      <c r="E33" s="1">
        <f t="shared" si="0"/>
        <v>0.84536082474226804</v>
      </c>
      <c r="F33" s="1">
        <f t="shared" si="1"/>
        <v>0.15463917525773196</v>
      </c>
      <c r="H33" t="s">
        <v>36</v>
      </c>
      <c r="I33">
        <f t="shared" si="10"/>
        <v>286069</v>
      </c>
      <c r="J33">
        <f t="shared" si="5"/>
        <v>401570</v>
      </c>
      <c r="K33">
        <f t="shared" si="11"/>
        <v>527105</v>
      </c>
      <c r="L33" s="1">
        <f t="shared" si="12"/>
        <v>0.54271729541552438</v>
      </c>
      <c r="M33">
        <f t="shared" si="3"/>
        <v>689946</v>
      </c>
    </row>
    <row r="34" spans="1:13" x14ac:dyDescent="0.45">
      <c r="A34">
        <v>32</v>
      </c>
      <c r="B34">
        <v>135</v>
      </c>
      <c r="C34">
        <v>25</v>
      </c>
      <c r="D34">
        <v>160</v>
      </c>
      <c r="E34" s="1">
        <f t="shared" si="0"/>
        <v>0.84375</v>
      </c>
      <c r="F34" s="1">
        <f t="shared" si="1"/>
        <v>0.15625</v>
      </c>
      <c r="H34" t="s">
        <v>37</v>
      </c>
      <c r="I34">
        <f t="shared" si="10"/>
        <v>286204</v>
      </c>
      <c r="J34">
        <f t="shared" si="5"/>
        <v>401595</v>
      </c>
      <c r="K34">
        <f t="shared" si="11"/>
        <v>527130</v>
      </c>
      <c r="L34" s="1">
        <f t="shared" si="12"/>
        <v>0.54294765997002636</v>
      </c>
      <c r="M34">
        <f t="shared" si="3"/>
        <v>689946</v>
      </c>
    </row>
    <row r="35" spans="1:13" x14ac:dyDescent="0.45">
      <c r="A35">
        <v>33</v>
      </c>
      <c r="B35">
        <v>139</v>
      </c>
      <c r="C35">
        <v>19</v>
      </c>
      <c r="D35">
        <v>158</v>
      </c>
      <c r="E35" s="1">
        <f t="shared" si="0"/>
        <v>0.879746835443038</v>
      </c>
      <c r="F35" s="1">
        <f t="shared" si="1"/>
        <v>0.12025316455696203</v>
      </c>
      <c r="H35" t="s">
        <v>38</v>
      </c>
      <c r="I35">
        <f t="shared" si="10"/>
        <v>286343</v>
      </c>
      <c r="J35">
        <f t="shared" si="5"/>
        <v>401614</v>
      </c>
      <c r="K35">
        <f t="shared" si="11"/>
        <v>527149</v>
      </c>
      <c r="L35" s="1">
        <f t="shared" si="12"/>
        <v>0.54319177310399902</v>
      </c>
      <c r="M35">
        <f t="shared" si="3"/>
        <v>689946</v>
      </c>
    </row>
    <row r="36" spans="1:13" x14ac:dyDescent="0.45">
      <c r="A36">
        <v>34</v>
      </c>
      <c r="B36">
        <v>116</v>
      </c>
      <c r="C36">
        <v>26</v>
      </c>
      <c r="D36">
        <v>142</v>
      </c>
      <c r="E36" s="1">
        <f t="shared" si="0"/>
        <v>0.81690140845070425</v>
      </c>
      <c r="F36" s="1">
        <f t="shared" si="1"/>
        <v>0.18309859154929578</v>
      </c>
      <c r="H36" t="s">
        <v>39</v>
      </c>
      <c r="I36">
        <f t="shared" si="10"/>
        <v>286459</v>
      </c>
      <c r="J36">
        <f t="shared" si="5"/>
        <v>401640</v>
      </c>
      <c r="K36">
        <f t="shared" si="11"/>
        <v>527175</v>
      </c>
      <c r="L36" s="1">
        <f t="shared" si="12"/>
        <v>0.54338502394840427</v>
      </c>
      <c r="M36">
        <f t="shared" si="3"/>
        <v>689946</v>
      </c>
    </row>
    <row r="37" spans="1:13" x14ac:dyDescent="0.45">
      <c r="A37">
        <v>35</v>
      </c>
      <c r="B37">
        <v>113</v>
      </c>
      <c r="C37">
        <v>21</v>
      </c>
      <c r="D37">
        <v>134</v>
      </c>
      <c r="E37" s="1">
        <f t="shared" si="0"/>
        <v>0.84328358208955223</v>
      </c>
      <c r="F37" s="1">
        <f t="shared" si="1"/>
        <v>0.15671641791044777</v>
      </c>
      <c r="H37" t="s">
        <v>40</v>
      </c>
      <c r="I37">
        <f t="shared" si="10"/>
        <v>286572</v>
      </c>
      <c r="J37">
        <f t="shared" si="5"/>
        <v>401661</v>
      </c>
      <c r="K37">
        <f t="shared" si="11"/>
        <v>527196</v>
      </c>
      <c r="L37" s="1">
        <f t="shared" si="12"/>
        <v>0.54357772062003507</v>
      </c>
      <c r="M37">
        <f t="shared" si="3"/>
        <v>689946</v>
      </c>
    </row>
    <row r="38" spans="1:13" x14ac:dyDescent="0.45">
      <c r="A38">
        <v>36</v>
      </c>
      <c r="B38">
        <v>95</v>
      </c>
      <c r="C38">
        <v>16</v>
      </c>
      <c r="D38">
        <v>111</v>
      </c>
      <c r="E38" s="1">
        <f t="shared" si="0"/>
        <v>0.85585585585585588</v>
      </c>
      <c r="F38" s="1">
        <f t="shared" si="1"/>
        <v>0.14414414414414414</v>
      </c>
      <c r="H38" t="s">
        <v>41</v>
      </c>
      <c r="I38">
        <f t="shared" si="10"/>
        <v>286667</v>
      </c>
      <c r="J38">
        <f t="shared" si="5"/>
        <v>401677</v>
      </c>
      <c r="K38">
        <f t="shared" si="11"/>
        <v>527212</v>
      </c>
      <c r="L38" s="1">
        <f t="shared" si="12"/>
        <v>0.54374141711493673</v>
      </c>
      <c r="M38">
        <f t="shared" si="3"/>
        <v>689946</v>
      </c>
    </row>
    <row r="39" spans="1:13" x14ac:dyDescent="0.45">
      <c r="A39">
        <v>37</v>
      </c>
      <c r="B39">
        <v>97</v>
      </c>
      <c r="C39">
        <v>14</v>
      </c>
      <c r="D39">
        <v>111</v>
      </c>
      <c r="E39" s="1">
        <f t="shared" si="0"/>
        <v>0.87387387387387383</v>
      </c>
      <c r="F39" s="1">
        <f t="shared" si="1"/>
        <v>0.12612612612612611</v>
      </c>
      <c r="H39" t="s">
        <v>42</v>
      </c>
      <c r="I39">
        <f t="shared" si="10"/>
        <v>286764</v>
      </c>
      <c r="J39">
        <f t="shared" si="5"/>
        <v>401691</v>
      </c>
      <c r="K39">
        <f t="shared" si="11"/>
        <v>527226</v>
      </c>
      <c r="L39" s="1">
        <f t="shared" si="12"/>
        <v>0.54391096038511</v>
      </c>
      <c r="M39">
        <f t="shared" si="3"/>
        <v>689946</v>
      </c>
    </row>
    <row r="40" spans="1:13" x14ac:dyDescent="0.45">
      <c r="A40">
        <v>38</v>
      </c>
      <c r="B40">
        <v>81</v>
      </c>
      <c r="C40">
        <v>17</v>
      </c>
      <c r="D40">
        <v>98</v>
      </c>
      <c r="E40" s="1">
        <f t="shared" si="0"/>
        <v>0.82653061224489799</v>
      </c>
      <c r="F40" s="1">
        <f t="shared" si="1"/>
        <v>0.17346938775510204</v>
      </c>
      <c r="H40" t="s">
        <v>43</v>
      </c>
      <c r="I40">
        <f t="shared" si="10"/>
        <v>286845</v>
      </c>
      <c r="J40">
        <f t="shared" si="5"/>
        <v>401708</v>
      </c>
      <c r="K40">
        <f t="shared" si="11"/>
        <v>527243</v>
      </c>
      <c r="L40" s="1">
        <f t="shared" si="12"/>
        <v>0.54404705230794903</v>
      </c>
      <c r="M40">
        <f t="shared" si="3"/>
        <v>689946</v>
      </c>
    </row>
    <row r="41" spans="1:13" x14ac:dyDescent="0.45">
      <c r="A41">
        <v>39</v>
      </c>
      <c r="B41">
        <v>80</v>
      </c>
      <c r="C41">
        <v>17</v>
      </c>
      <c r="D41">
        <v>97</v>
      </c>
      <c r="E41" s="1">
        <f t="shared" si="0"/>
        <v>0.82474226804123707</v>
      </c>
      <c r="F41" s="1">
        <f t="shared" si="1"/>
        <v>0.17525773195876287</v>
      </c>
      <c r="H41" t="s">
        <v>44</v>
      </c>
      <c r="I41">
        <f t="shared" si="10"/>
        <v>286925</v>
      </c>
      <c r="J41">
        <f t="shared" si="5"/>
        <v>401725</v>
      </c>
      <c r="K41">
        <f t="shared" si="11"/>
        <v>527260</v>
      </c>
      <c r="L41" s="1">
        <f t="shared" si="12"/>
        <v>0.5441812388574897</v>
      </c>
      <c r="M41">
        <f t="shared" si="3"/>
        <v>689946</v>
      </c>
    </row>
    <row r="42" spans="1:13" x14ac:dyDescent="0.45">
      <c r="A42">
        <v>40</v>
      </c>
      <c r="B42">
        <v>64</v>
      </c>
      <c r="C42">
        <v>11</v>
      </c>
      <c r="D42">
        <v>75</v>
      </c>
      <c r="E42" s="1">
        <f t="shared" si="0"/>
        <v>0.85333333333333339</v>
      </c>
      <c r="F42" s="1">
        <f t="shared" si="1"/>
        <v>0.14666666666666667</v>
      </c>
      <c r="H42" t="s">
        <v>45</v>
      </c>
      <c r="I42">
        <f t="shared" si="10"/>
        <v>286989</v>
      </c>
      <c r="J42">
        <f t="shared" si="5"/>
        <v>401736</v>
      </c>
      <c r="K42">
        <f t="shared" si="11"/>
        <v>527271</v>
      </c>
      <c r="L42" s="1">
        <f t="shared" si="12"/>
        <v>0.5442912657817327</v>
      </c>
      <c r="M42">
        <f t="shared" si="3"/>
        <v>689946</v>
      </c>
    </row>
    <row r="43" spans="1:13" x14ac:dyDescent="0.45">
      <c r="A43">
        <v>41</v>
      </c>
      <c r="B43">
        <v>69</v>
      </c>
      <c r="C43">
        <v>8</v>
      </c>
      <c r="D43">
        <v>77</v>
      </c>
      <c r="E43" s="1">
        <f t="shared" si="0"/>
        <v>0.89610389610389607</v>
      </c>
      <c r="F43" s="1">
        <f t="shared" si="1"/>
        <v>0.1038961038961039</v>
      </c>
      <c r="H43" t="s">
        <v>46</v>
      </c>
      <c r="I43">
        <f t="shared" si="10"/>
        <v>287058</v>
      </c>
      <c r="J43">
        <f t="shared" si="5"/>
        <v>401744</v>
      </c>
      <c r="K43">
        <f t="shared" si="11"/>
        <v>527279</v>
      </c>
      <c r="L43" s="1">
        <f t="shared" si="12"/>
        <v>0.54441386817984405</v>
      </c>
      <c r="M43">
        <f t="shared" si="3"/>
        <v>689946</v>
      </c>
    </row>
    <row r="44" spans="1:13" x14ac:dyDescent="0.45">
      <c r="A44">
        <v>42</v>
      </c>
      <c r="B44">
        <v>56</v>
      </c>
      <c r="C44">
        <v>17</v>
      </c>
      <c r="D44">
        <v>73</v>
      </c>
      <c r="E44" s="1">
        <f t="shared" si="0"/>
        <v>0.76712328767123283</v>
      </c>
      <c r="F44" s="1">
        <f t="shared" si="1"/>
        <v>0.23287671232876711</v>
      </c>
      <c r="H44" t="s">
        <v>47</v>
      </c>
      <c r="I44">
        <f t="shared" si="10"/>
        <v>287114</v>
      </c>
      <c r="J44">
        <f t="shared" si="5"/>
        <v>401761</v>
      </c>
      <c r="K44">
        <f t="shared" si="11"/>
        <v>527296</v>
      </c>
      <c r="L44" s="1">
        <f t="shared" si="12"/>
        <v>0.54450251850952791</v>
      </c>
      <c r="M44">
        <f t="shared" si="3"/>
        <v>689946</v>
      </c>
    </row>
    <row r="45" spans="1:13" x14ac:dyDescent="0.45">
      <c r="A45">
        <v>43</v>
      </c>
      <c r="B45">
        <v>52</v>
      </c>
      <c r="C45">
        <v>5</v>
      </c>
      <c r="D45">
        <v>57</v>
      </c>
      <c r="E45" s="1">
        <f t="shared" si="0"/>
        <v>0.91228070175438591</v>
      </c>
      <c r="F45" s="1">
        <f t="shared" si="1"/>
        <v>8.771929824561403E-2</v>
      </c>
      <c r="H45" t="s">
        <v>48</v>
      </c>
      <c r="I45">
        <f t="shared" si="10"/>
        <v>287166</v>
      </c>
      <c r="J45">
        <f t="shared" si="5"/>
        <v>401766</v>
      </c>
      <c r="K45">
        <f t="shared" si="11"/>
        <v>527301</v>
      </c>
      <c r="L45" s="1">
        <f t="shared" si="12"/>
        <v>0.5445959708022553</v>
      </c>
      <c r="M45">
        <f t="shared" si="3"/>
        <v>689946</v>
      </c>
    </row>
    <row r="46" spans="1:13" x14ac:dyDescent="0.45">
      <c r="A46">
        <v>44</v>
      </c>
      <c r="B46">
        <v>51</v>
      </c>
      <c r="C46">
        <v>6</v>
      </c>
      <c r="D46">
        <v>57</v>
      </c>
      <c r="E46" s="1">
        <f t="shared" si="0"/>
        <v>0.89473684210526316</v>
      </c>
      <c r="F46" s="1">
        <f t="shared" si="1"/>
        <v>0.10526315789473684</v>
      </c>
      <c r="H46" t="s">
        <v>49</v>
      </c>
      <c r="I46">
        <f t="shared" si="10"/>
        <v>287217</v>
      </c>
      <c r="J46">
        <f t="shared" si="5"/>
        <v>401772</v>
      </c>
      <c r="K46">
        <f t="shared" si="11"/>
        <v>527307</v>
      </c>
      <c r="L46" s="1">
        <f t="shared" si="12"/>
        <v>0.54468649192974872</v>
      </c>
      <c r="M46">
        <f t="shared" si="3"/>
        <v>689946</v>
      </c>
    </row>
    <row r="47" spans="1:13" x14ac:dyDescent="0.45">
      <c r="A47">
        <v>45</v>
      </c>
      <c r="B47">
        <v>46</v>
      </c>
      <c r="C47">
        <v>7</v>
      </c>
      <c r="D47">
        <v>53</v>
      </c>
      <c r="E47" s="1">
        <f t="shared" si="0"/>
        <v>0.86792452830188682</v>
      </c>
      <c r="F47" s="1">
        <f t="shared" si="1"/>
        <v>0.13207547169811321</v>
      </c>
      <c r="H47" t="s">
        <v>50</v>
      </c>
      <c r="I47">
        <f t="shared" si="10"/>
        <v>287263</v>
      </c>
      <c r="J47">
        <f t="shared" si="5"/>
        <v>401779</v>
      </c>
      <c r="K47">
        <f t="shared" si="11"/>
        <v>527314</v>
      </c>
      <c r="L47" s="1">
        <f t="shared" si="12"/>
        <v>0.54476649586394443</v>
      </c>
      <c r="M47">
        <f t="shared" si="3"/>
        <v>689946</v>
      </c>
    </row>
    <row r="48" spans="1:13" x14ac:dyDescent="0.45">
      <c r="A48">
        <v>46</v>
      </c>
      <c r="B48">
        <v>44</v>
      </c>
      <c r="C48">
        <v>4</v>
      </c>
      <c r="D48">
        <v>48</v>
      </c>
      <c r="E48" s="1">
        <f t="shared" si="0"/>
        <v>0.91666666666666663</v>
      </c>
      <c r="F48" s="1">
        <f t="shared" si="1"/>
        <v>8.3333333333333329E-2</v>
      </c>
      <c r="H48" t="s">
        <v>51</v>
      </c>
      <c r="I48">
        <f t="shared" si="10"/>
        <v>287307</v>
      </c>
      <c r="J48">
        <f t="shared" si="5"/>
        <v>401783</v>
      </c>
      <c r="K48">
        <f t="shared" si="11"/>
        <v>527318</v>
      </c>
      <c r="L48" s="1">
        <f t="shared" si="12"/>
        <v>0.5448458046188448</v>
      </c>
      <c r="M48">
        <f t="shared" si="3"/>
        <v>689946</v>
      </c>
    </row>
    <row r="49" spans="1:13" x14ac:dyDescent="0.45">
      <c r="A49">
        <v>47</v>
      </c>
      <c r="B49">
        <v>42</v>
      </c>
      <c r="C49">
        <v>7</v>
      </c>
      <c r="D49">
        <v>49</v>
      </c>
      <c r="E49" s="1">
        <f t="shared" si="0"/>
        <v>0.8571428571428571</v>
      </c>
      <c r="F49" s="1">
        <f t="shared" si="1"/>
        <v>0.14285714285714285</v>
      </c>
      <c r="H49" t="s">
        <v>52</v>
      </c>
      <c r="I49">
        <f t="shared" si="10"/>
        <v>287349</v>
      </c>
      <c r="J49">
        <f t="shared" si="5"/>
        <v>401790</v>
      </c>
      <c r="K49">
        <f t="shared" si="11"/>
        <v>527325</v>
      </c>
      <c r="L49" s="1">
        <f t="shared" si="12"/>
        <v>0.54491821931446449</v>
      </c>
      <c r="M49">
        <f t="shared" si="3"/>
        <v>689946</v>
      </c>
    </row>
    <row r="50" spans="1:13" x14ac:dyDescent="0.45">
      <c r="A50">
        <v>48</v>
      </c>
      <c r="B50">
        <v>37</v>
      </c>
      <c r="C50">
        <v>5</v>
      </c>
      <c r="D50">
        <v>42</v>
      </c>
      <c r="E50" s="1">
        <f t="shared" si="0"/>
        <v>0.88095238095238093</v>
      </c>
      <c r="F50" s="1">
        <f t="shared" si="1"/>
        <v>0.11904761904761904</v>
      </c>
      <c r="H50" t="s">
        <v>53</v>
      </c>
      <c r="I50">
        <f t="shared" si="10"/>
        <v>287386</v>
      </c>
      <c r="J50">
        <f t="shared" si="5"/>
        <v>401795</v>
      </c>
      <c r="K50">
        <f t="shared" si="11"/>
        <v>527330</v>
      </c>
      <c r="L50" s="1">
        <f t="shared" si="12"/>
        <v>0.54498321734018551</v>
      </c>
      <c r="M50">
        <f t="shared" si="3"/>
        <v>689946</v>
      </c>
    </row>
    <row r="51" spans="1:13" x14ac:dyDescent="0.45">
      <c r="A51">
        <v>49</v>
      </c>
      <c r="B51">
        <v>37</v>
      </c>
      <c r="C51">
        <v>3</v>
      </c>
      <c r="D51">
        <v>40</v>
      </c>
      <c r="E51" s="1">
        <f t="shared" si="0"/>
        <v>0.92500000000000004</v>
      </c>
      <c r="F51" s="1">
        <f t="shared" si="1"/>
        <v>7.4999999999999997E-2</v>
      </c>
      <c r="H51" t="s">
        <v>54</v>
      </c>
      <c r="I51">
        <f t="shared" si="10"/>
        <v>287423</v>
      </c>
      <c r="J51">
        <f t="shared" si="5"/>
        <v>401798</v>
      </c>
      <c r="K51">
        <f t="shared" si="11"/>
        <v>527333</v>
      </c>
      <c r="L51" s="1">
        <f t="shared" si="12"/>
        <v>0.5450502813212903</v>
      </c>
      <c r="M51">
        <f t="shared" si="3"/>
        <v>689946</v>
      </c>
    </row>
    <row r="52" spans="1:13" x14ac:dyDescent="0.45">
      <c r="A52">
        <v>50</v>
      </c>
      <c r="B52">
        <v>34</v>
      </c>
      <c r="C52">
        <v>6</v>
      </c>
      <c r="D52">
        <v>40</v>
      </c>
      <c r="E52" s="1">
        <f t="shared" si="0"/>
        <v>0.85</v>
      </c>
      <c r="F52" s="1">
        <f t="shared" si="1"/>
        <v>0.15</v>
      </c>
      <c r="H52" t="s">
        <v>55</v>
      </c>
      <c r="I52">
        <f t="shared" si="10"/>
        <v>287457</v>
      </c>
      <c r="J52">
        <f t="shared" si="5"/>
        <v>401804</v>
      </c>
      <c r="K52">
        <f t="shared" si="11"/>
        <v>527339</v>
      </c>
      <c r="L52" s="1">
        <f t="shared" si="12"/>
        <v>0.54510855445927575</v>
      </c>
      <c r="M52">
        <f t="shared" si="3"/>
        <v>689946</v>
      </c>
    </row>
    <row r="53" spans="1:13" x14ac:dyDescent="0.45">
      <c r="A53">
        <v>51</v>
      </c>
      <c r="B53">
        <v>31</v>
      </c>
      <c r="C53">
        <v>4</v>
      </c>
      <c r="D53">
        <v>35</v>
      </c>
      <c r="E53" s="1">
        <f t="shared" si="0"/>
        <v>0.88571428571428568</v>
      </c>
      <c r="F53" s="1">
        <f t="shared" si="1"/>
        <v>0.11428571428571428</v>
      </c>
      <c r="H53" t="s">
        <v>56</v>
      </c>
      <c r="I53">
        <f t="shared" si="10"/>
        <v>287488</v>
      </c>
      <c r="J53">
        <f t="shared" si="5"/>
        <v>401808</v>
      </c>
      <c r="K53">
        <f t="shared" si="11"/>
        <v>527343</v>
      </c>
      <c r="L53" s="1">
        <f t="shared" si="12"/>
        <v>0.54516320497285453</v>
      </c>
      <c r="M53">
        <f t="shared" si="3"/>
        <v>689946</v>
      </c>
    </row>
    <row r="54" spans="1:13" x14ac:dyDescent="0.45">
      <c r="A54">
        <v>52</v>
      </c>
      <c r="B54">
        <v>30</v>
      </c>
      <c r="C54">
        <v>2</v>
      </c>
      <c r="D54">
        <v>32</v>
      </c>
      <c r="E54" s="1">
        <f t="shared" si="0"/>
        <v>0.9375</v>
      </c>
      <c r="F54" s="1">
        <f t="shared" si="1"/>
        <v>6.25E-2</v>
      </c>
      <c r="H54" t="s">
        <v>57</v>
      </c>
      <c r="I54">
        <f t="shared" si="10"/>
        <v>287518</v>
      </c>
      <c r="J54">
        <f t="shared" si="5"/>
        <v>401810</v>
      </c>
      <c r="K54">
        <f t="shared" si="11"/>
        <v>527345</v>
      </c>
      <c r="L54" s="1">
        <f t="shared" si="12"/>
        <v>0.54521802614986392</v>
      </c>
      <c r="M54">
        <f t="shared" si="3"/>
        <v>689946</v>
      </c>
    </row>
    <row r="55" spans="1:13" x14ac:dyDescent="0.45">
      <c r="A55">
        <v>53</v>
      </c>
      <c r="B55">
        <v>29</v>
      </c>
      <c r="C55">
        <v>4</v>
      </c>
      <c r="D55">
        <v>33</v>
      </c>
      <c r="E55" s="1">
        <f t="shared" si="0"/>
        <v>0.87878787878787878</v>
      </c>
      <c r="F55" s="1">
        <f t="shared" si="1"/>
        <v>0.12121212121212122</v>
      </c>
      <c r="H55" t="s">
        <v>58</v>
      </c>
      <c r="I55">
        <f t="shared" si="10"/>
        <v>287547</v>
      </c>
      <c r="J55">
        <f t="shared" si="5"/>
        <v>401814</v>
      </c>
      <c r="K55">
        <f t="shared" si="11"/>
        <v>527349</v>
      </c>
      <c r="L55" s="1">
        <f t="shared" si="12"/>
        <v>0.54526888265645712</v>
      </c>
      <c r="M55">
        <f t="shared" si="3"/>
        <v>689946</v>
      </c>
    </row>
    <row r="56" spans="1:13" x14ac:dyDescent="0.45">
      <c r="A56">
        <v>54</v>
      </c>
      <c r="B56">
        <v>26</v>
      </c>
      <c r="C56">
        <v>3</v>
      </c>
      <c r="D56">
        <v>29</v>
      </c>
      <c r="E56" s="1">
        <f t="shared" si="0"/>
        <v>0.89655172413793105</v>
      </c>
      <c r="F56" s="1">
        <f t="shared" si="1"/>
        <v>0.10344827586206896</v>
      </c>
      <c r="H56" t="s">
        <v>59</v>
      </c>
      <c r="I56">
        <f t="shared" si="10"/>
        <v>287573</v>
      </c>
      <c r="J56">
        <f t="shared" si="5"/>
        <v>401817</v>
      </c>
      <c r="K56">
        <f t="shared" si="11"/>
        <v>527352</v>
      </c>
      <c r="L56" s="1">
        <f t="shared" si="12"/>
        <v>0.54531508366328374</v>
      </c>
      <c r="M56">
        <f t="shared" si="3"/>
        <v>689946</v>
      </c>
    </row>
    <row r="57" spans="1:13" x14ac:dyDescent="0.45">
      <c r="A57">
        <v>55</v>
      </c>
      <c r="B57">
        <v>26</v>
      </c>
      <c r="C57">
        <v>0</v>
      </c>
      <c r="D57">
        <v>26</v>
      </c>
      <c r="E57" s="1">
        <f t="shared" si="0"/>
        <v>1</v>
      </c>
      <c r="F57" s="1">
        <f t="shared" si="1"/>
        <v>0</v>
      </c>
      <c r="H57" t="s">
        <v>60</v>
      </c>
      <c r="I57">
        <f t="shared" si="10"/>
        <v>287599</v>
      </c>
      <c r="J57">
        <f t="shared" si="5"/>
        <v>401817</v>
      </c>
      <c r="K57">
        <f t="shared" si="11"/>
        <v>527352</v>
      </c>
      <c r="L57" s="1">
        <f t="shared" si="12"/>
        <v>0.54536438659567044</v>
      </c>
      <c r="M57">
        <f t="shared" si="3"/>
        <v>689946</v>
      </c>
    </row>
    <row r="58" spans="1:13" x14ac:dyDescent="0.45">
      <c r="A58">
        <v>56</v>
      </c>
      <c r="B58">
        <v>26</v>
      </c>
      <c r="C58">
        <v>6</v>
      </c>
      <c r="D58">
        <v>32</v>
      </c>
      <c r="E58" s="1">
        <f t="shared" si="0"/>
        <v>0.8125</v>
      </c>
      <c r="F58" s="1">
        <f t="shared" si="1"/>
        <v>0.1875</v>
      </c>
      <c r="H58" t="s">
        <v>61</v>
      </c>
      <c r="I58">
        <f t="shared" si="10"/>
        <v>287625</v>
      </c>
      <c r="J58">
        <f t="shared" si="5"/>
        <v>401823</v>
      </c>
      <c r="K58">
        <f t="shared" si="11"/>
        <v>527358</v>
      </c>
      <c r="L58" s="1">
        <f t="shared" si="12"/>
        <v>0.54540748409998518</v>
      </c>
      <c r="M58">
        <f t="shared" si="3"/>
        <v>689946</v>
      </c>
    </row>
    <row r="59" spans="1:13" x14ac:dyDescent="0.45">
      <c r="A59">
        <v>57</v>
      </c>
      <c r="B59">
        <v>20</v>
      </c>
      <c r="C59">
        <v>3</v>
      </c>
      <c r="D59">
        <v>23</v>
      </c>
      <c r="E59" s="1">
        <f t="shared" si="0"/>
        <v>0.86956521739130432</v>
      </c>
      <c r="F59" s="1">
        <f t="shared" si="1"/>
        <v>0.13043478260869565</v>
      </c>
      <c r="H59" t="s">
        <v>62</v>
      </c>
      <c r="I59">
        <f t="shared" si="10"/>
        <v>287645</v>
      </c>
      <c r="J59">
        <f t="shared" si="5"/>
        <v>401826</v>
      </c>
      <c r="K59">
        <f t="shared" si="11"/>
        <v>527361</v>
      </c>
      <c r="L59" s="1">
        <f t="shared" si="12"/>
        <v>0.54544230612426781</v>
      </c>
      <c r="M59">
        <f t="shared" si="3"/>
        <v>689946</v>
      </c>
    </row>
    <row r="60" spans="1:13" x14ac:dyDescent="0.45">
      <c r="A60">
        <v>58</v>
      </c>
      <c r="B60">
        <v>23</v>
      </c>
      <c r="C60">
        <v>4</v>
      </c>
      <c r="D60">
        <v>27</v>
      </c>
      <c r="E60" s="1">
        <f t="shared" si="0"/>
        <v>0.85185185185185186</v>
      </c>
      <c r="F60" s="1">
        <f t="shared" si="1"/>
        <v>0.14814814814814814</v>
      </c>
      <c r="H60" t="s">
        <v>63</v>
      </c>
      <c r="I60">
        <f t="shared" si="10"/>
        <v>287668</v>
      </c>
      <c r="J60">
        <f t="shared" si="5"/>
        <v>401830</v>
      </c>
      <c r="K60">
        <f t="shared" si="11"/>
        <v>527365</v>
      </c>
      <c r="L60" s="1">
        <f t="shared" si="12"/>
        <v>0.54548178206744857</v>
      </c>
      <c r="M60">
        <f t="shared" si="3"/>
        <v>689946</v>
      </c>
    </row>
    <row r="61" spans="1:13" x14ac:dyDescent="0.45">
      <c r="A61">
        <v>59</v>
      </c>
      <c r="B61">
        <v>16</v>
      </c>
      <c r="C61">
        <v>4</v>
      </c>
      <c r="D61">
        <v>20</v>
      </c>
      <c r="E61" s="1">
        <f t="shared" si="0"/>
        <v>0.8</v>
      </c>
      <c r="F61" s="1">
        <f t="shared" si="1"/>
        <v>0.2</v>
      </c>
      <c r="H61" t="s">
        <v>64</v>
      </c>
      <c r="I61">
        <f t="shared" si="10"/>
        <v>287684</v>
      </c>
      <c r="J61">
        <f t="shared" si="5"/>
        <v>401834</v>
      </c>
      <c r="K61">
        <f t="shared" si="11"/>
        <v>527369</v>
      </c>
      <c r="L61" s="1">
        <f t="shared" si="12"/>
        <v>0.54550798397327105</v>
      </c>
      <c r="M61">
        <f t="shared" si="3"/>
        <v>689946</v>
      </c>
    </row>
    <row r="62" spans="1:13" x14ac:dyDescent="0.45">
      <c r="A62">
        <v>60</v>
      </c>
      <c r="B62">
        <v>19</v>
      </c>
      <c r="C62">
        <v>3</v>
      </c>
      <c r="D62">
        <v>22</v>
      </c>
      <c r="E62" s="1">
        <f t="shared" si="0"/>
        <v>0.86363636363636365</v>
      </c>
      <c r="F62" s="1">
        <f t="shared" si="1"/>
        <v>0.13636363636363635</v>
      </c>
      <c r="H62" t="s">
        <v>65</v>
      </c>
      <c r="I62">
        <f t="shared" si="10"/>
        <v>287703</v>
      </c>
      <c r="J62">
        <f t="shared" si="5"/>
        <v>401837</v>
      </c>
      <c r="K62">
        <f t="shared" si="11"/>
        <v>527372</v>
      </c>
      <c r="L62" s="1">
        <f t="shared" si="12"/>
        <v>0.54554090850481252</v>
      </c>
      <c r="M62">
        <f t="shared" si="3"/>
        <v>689946</v>
      </c>
    </row>
    <row r="63" spans="1:13" x14ac:dyDescent="0.45">
      <c r="A63">
        <v>61</v>
      </c>
      <c r="B63">
        <v>13</v>
      </c>
      <c r="C63">
        <v>1</v>
      </c>
      <c r="D63">
        <v>14</v>
      </c>
      <c r="E63" s="1">
        <f t="shared" si="0"/>
        <v>0.9285714285714286</v>
      </c>
      <c r="F63" s="1">
        <f t="shared" si="1"/>
        <v>7.1428571428571425E-2</v>
      </c>
      <c r="H63" t="s">
        <v>66</v>
      </c>
      <c r="I63">
        <f t="shared" si="10"/>
        <v>287716</v>
      </c>
      <c r="J63">
        <f t="shared" si="5"/>
        <v>401838</v>
      </c>
      <c r="K63">
        <f t="shared" si="11"/>
        <v>527373</v>
      </c>
      <c r="L63" s="1">
        <f t="shared" si="12"/>
        <v>0.54556452453955739</v>
      </c>
      <c r="M63">
        <f t="shared" si="3"/>
        <v>689946</v>
      </c>
    </row>
    <row r="64" spans="1:13" x14ac:dyDescent="0.45">
      <c r="A64">
        <v>62</v>
      </c>
      <c r="B64">
        <v>18</v>
      </c>
      <c r="C64">
        <v>4</v>
      </c>
      <c r="D64">
        <v>22</v>
      </c>
      <c r="E64" s="1">
        <f t="shared" si="0"/>
        <v>0.81818181818181823</v>
      </c>
      <c r="F64" s="1">
        <f t="shared" si="1"/>
        <v>0.18181818181818182</v>
      </c>
      <c r="H64" t="s">
        <v>67</v>
      </c>
      <c r="I64">
        <f t="shared" si="10"/>
        <v>287734</v>
      </c>
      <c r="J64">
        <f t="shared" si="5"/>
        <v>401842</v>
      </c>
      <c r="K64">
        <f t="shared" si="11"/>
        <v>527377</v>
      </c>
      <c r="L64" s="1">
        <f t="shared" si="12"/>
        <v>0.54559451777381263</v>
      </c>
      <c r="M64">
        <f t="shared" si="3"/>
        <v>689946</v>
      </c>
    </row>
    <row r="65" spans="1:13" x14ac:dyDescent="0.45">
      <c r="A65">
        <v>63</v>
      </c>
      <c r="B65">
        <v>9</v>
      </c>
      <c r="C65">
        <v>2</v>
      </c>
      <c r="D65">
        <v>11</v>
      </c>
      <c r="E65" s="1">
        <f t="shared" si="0"/>
        <v>0.81818181818181823</v>
      </c>
      <c r="F65" s="1">
        <f t="shared" si="1"/>
        <v>0.18181818181818182</v>
      </c>
      <c r="H65" t="s">
        <v>68</v>
      </c>
      <c r="I65">
        <f t="shared" si="10"/>
        <v>287743</v>
      </c>
      <c r="J65">
        <f t="shared" si="5"/>
        <v>401844</v>
      </c>
      <c r="K65">
        <f t="shared" si="11"/>
        <v>527379</v>
      </c>
      <c r="L65" s="1">
        <f t="shared" si="12"/>
        <v>0.54560951422032355</v>
      </c>
      <c r="M65">
        <f t="shared" si="3"/>
        <v>689946</v>
      </c>
    </row>
    <row r="66" spans="1:13" x14ac:dyDescent="0.45">
      <c r="A66">
        <v>64</v>
      </c>
      <c r="B66">
        <v>16</v>
      </c>
      <c r="C66">
        <v>0</v>
      </c>
      <c r="D66">
        <v>16</v>
      </c>
      <c r="E66" s="1">
        <f t="shared" si="0"/>
        <v>1</v>
      </c>
      <c r="F66" s="1">
        <f t="shared" si="1"/>
        <v>0</v>
      </c>
      <c r="H66" t="s">
        <v>69</v>
      </c>
      <c r="I66">
        <f t="shared" si="10"/>
        <v>287759</v>
      </c>
      <c r="J66">
        <f t="shared" si="5"/>
        <v>401844</v>
      </c>
      <c r="K66">
        <f t="shared" si="11"/>
        <v>527379</v>
      </c>
      <c r="L66" s="1">
        <f t="shared" si="12"/>
        <v>0.54563985293308992</v>
      </c>
      <c r="M66">
        <f t="shared" si="3"/>
        <v>689946</v>
      </c>
    </row>
    <row r="67" spans="1:13" x14ac:dyDescent="0.45">
      <c r="A67">
        <v>65</v>
      </c>
      <c r="B67">
        <v>9</v>
      </c>
      <c r="C67">
        <v>2</v>
      </c>
      <c r="D67">
        <v>11</v>
      </c>
      <c r="E67" s="1">
        <f t="shared" si="0"/>
        <v>0.81818181818181823</v>
      </c>
      <c r="F67" s="1">
        <f t="shared" si="1"/>
        <v>0.18181818181818182</v>
      </c>
      <c r="H67" t="s">
        <v>70</v>
      </c>
      <c r="I67">
        <f t="shared" si="10"/>
        <v>287768</v>
      </c>
      <c r="J67">
        <f t="shared" si="5"/>
        <v>401846</v>
      </c>
      <c r="K67">
        <f t="shared" si="11"/>
        <v>527381</v>
      </c>
      <c r="L67" s="1">
        <f t="shared" si="12"/>
        <v>0.54565484915080364</v>
      </c>
      <c r="M67">
        <f t="shared" si="3"/>
        <v>689946</v>
      </c>
    </row>
    <row r="68" spans="1:13" x14ac:dyDescent="0.45">
      <c r="A68">
        <v>66</v>
      </c>
      <c r="B68">
        <v>14</v>
      </c>
      <c r="C68">
        <v>0</v>
      </c>
      <c r="D68">
        <v>14</v>
      </c>
      <c r="E68" s="1">
        <f t="shared" si="0"/>
        <v>1</v>
      </c>
      <c r="F68" s="1">
        <f t="shared" si="1"/>
        <v>0</v>
      </c>
      <c r="H68" t="s">
        <v>71</v>
      </c>
      <c r="I68">
        <f t="shared" si="10"/>
        <v>287782</v>
      </c>
      <c r="J68">
        <f t="shared" si="5"/>
        <v>401846</v>
      </c>
      <c r="K68">
        <f t="shared" si="11"/>
        <v>527381</v>
      </c>
      <c r="L68" s="1">
        <f t="shared" si="12"/>
        <v>0.54568139542380178</v>
      </c>
      <c r="M68">
        <f t="shared" si="3"/>
        <v>689946</v>
      </c>
    </row>
    <row r="69" spans="1:13" x14ac:dyDescent="0.45">
      <c r="A69">
        <v>67</v>
      </c>
      <c r="B69">
        <v>9</v>
      </c>
      <c r="C69">
        <v>1</v>
      </c>
      <c r="D69">
        <v>10</v>
      </c>
      <c r="E69" s="1">
        <f t="shared" ref="E69:E132" si="13">B69/D69</f>
        <v>0.9</v>
      </c>
      <c r="F69" s="1">
        <f t="shared" ref="F69:F132" si="14">C69/D69</f>
        <v>0.1</v>
      </c>
      <c r="H69" t="s">
        <v>72</v>
      </c>
      <c r="I69">
        <f t="shared" si="10"/>
        <v>287791</v>
      </c>
      <c r="J69">
        <f t="shared" si="5"/>
        <v>401847</v>
      </c>
      <c r="K69">
        <f t="shared" si="11"/>
        <v>527382</v>
      </c>
      <c r="L69" s="1">
        <f t="shared" si="12"/>
        <v>0.545697426154097</v>
      </c>
      <c r="M69">
        <f t="shared" ref="M69:M132" si="15">SUM(D:D)</f>
        <v>689946</v>
      </c>
    </row>
    <row r="70" spans="1:13" x14ac:dyDescent="0.45">
      <c r="A70">
        <v>68</v>
      </c>
      <c r="B70">
        <v>13</v>
      </c>
      <c r="C70">
        <v>0</v>
      </c>
      <c r="D70">
        <v>13</v>
      </c>
      <c r="E70" s="1">
        <f t="shared" si="13"/>
        <v>1</v>
      </c>
      <c r="F70" s="1">
        <f t="shared" si="14"/>
        <v>0</v>
      </c>
      <c r="H70" t="s">
        <v>73</v>
      </c>
      <c r="I70">
        <f t="shared" si="10"/>
        <v>287804</v>
      </c>
      <c r="J70">
        <f t="shared" ref="J70:J133" si="16">C70+J69</f>
        <v>401847</v>
      </c>
      <c r="K70">
        <f t="shared" si="11"/>
        <v>527382</v>
      </c>
      <c r="L70" s="1">
        <f t="shared" si="12"/>
        <v>0.54572207621799762</v>
      </c>
      <c r="M70">
        <f t="shared" si="15"/>
        <v>689946</v>
      </c>
    </row>
    <row r="71" spans="1:13" x14ac:dyDescent="0.45">
      <c r="A71">
        <v>69</v>
      </c>
      <c r="B71">
        <v>9</v>
      </c>
      <c r="C71">
        <v>1</v>
      </c>
      <c r="D71">
        <v>10</v>
      </c>
      <c r="E71" s="1">
        <f t="shared" si="13"/>
        <v>0.9</v>
      </c>
      <c r="F71" s="1">
        <f t="shared" si="14"/>
        <v>0.1</v>
      </c>
      <c r="H71" t="s">
        <v>74</v>
      </c>
      <c r="I71">
        <f t="shared" si="10"/>
        <v>287813</v>
      </c>
      <c r="J71">
        <f t="shared" si="16"/>
        <v>401848</v>
      </c>
      <c r="K71">
        <f t="shared" si="11"/>
        <v>527383</v>
      </c>
      <c r="L71" s="1">
        <f t="shared" si="12"/>
        <v>0.54573810684075896</v>
      </c>
      <c r="M71">
        <f t="shared" si="15"/>
        <v>689946</v>
      </c>
    </row>
    <row r="72" spans="1:13" x14ac:dyDescent="0.45">
      <c r="A72">
        <v>70</v>
      </c>
      <c r="B72">
        <v>12</v>
      </c>
      <c r="C72">
        <v>0</v>
      </c>
      <c r="D72">
        <v>12</v>
      </c>
      <c r="E72" s="1">
        <f t="shared" si="13"/>
        <v>1</v>
      </c>
      <c r="F72" s="1">
        <f t="shared" si="14"/>
        <v>0</v>
      </c>
      <c r="H72" t="s">
        <v>75</v>
      </c>
      <c r="I72">
        <f t="shared" si="10"/>
        <v>287825</v>
      </c>
      <c r="J72">
        <f t="shared" si="16"/>
        <v>401848</v>
      </c>
      <c r="K72">
        <f t="shared" si="11"/>
        <v>527383</v>
      </c>
      <c r="L72" s="1">
        <f t="shared" si="12"/>
        <v>0.54576086070275298</v>
      </c>
      <c r="M72">
        <f t="shared" si="15"/>
        <v>689946</v>
      </c>
    </row>
    <row r="73" spans="1:13" x14ac:dyDescent="0.45">
      <c r="A73">
        <v>71</v>
      </c>
      <c r="B73">
        <v>9</v>
      </c>
      <c r="C73">
        <v>1</v>
      </c>
      <c r="D73">
        <v>10</v>
      </c>
      <c r="E73" s="1">
        <f t="shared" si="13"/>
        <v>0.9</v>
      </c>
      <c r="F73" s="1">
        <f t="shared" si="14"/>
        <v>0.1</v>
      </c>
      <c r="H73" t="s">
        <v>76</v>
      </c>
      <c r="I73">
        <f t="shared" si="10"/>
        <v>287834</v>
      </c>
      <c r="J73">
        <f t="shared" si="16"/>
        <v>401849</v>
      </c>
      <c r="K73">
        <f t="shared" si="11"/>
        <v>527384</v>
      </c>
      <c r="L73" s="1">
        <f t="shared" si="12"/>
        <v>0.54577689122157669</v>
      </c>
      <c r="M73">
        <f t="shared" si="15"/>
        <v>689946</v>
      </c>
    </row>
    <row r="74" spans="1:13" x14ac:dyDescent="0.45">
      <c r="A74">
        <v>72</v>
      </c>
      <c r="B74">
        <v>11</v>
      </c>
      <c r="C74">
        <v>1</v>
      </c>
      <c r="D74">
        <v>12</v>
      </c>
      <c r="E74" s="1">
        <f t="shared" si="13"/>
        <v>0.91666666666666663</v>
      </c>
      <c r="F74" s="1">
        <f t="shared" si="14"/>
        <v>8.3333333333333329E-2</v>
      </c>
      <c r="H74" t="s">
        <v>77</v>
      </c>
      <c r="I74">
        <f t="shared" si="10"/>
        <v>287845</v>
      </c>
      <c r="J74">
        <f t="shared" si="16"/>
        <v>401850</v>
      </c>
      <c r="K74">
        <f t="shared" si="11"/>
        <v>527385</v>
      </c>
      <c r="L74" s="1">
        <f t="shared" si="12"/>
        <v>0.54579671397555862</v>
      </c>
      <c r="M74">
        <f t="shared" si="15"/>
        <v>689946</v>
      </c>
    </row>
    <row r="75" spans="1:13" x14ac:dyDescent="0.45">
      <c r="A75">
        <v>73</v>
      </c>
      <c r="B75">
        <v>8</v>
      </c>
      <c r="C75">
        <v>2</v>
      </c>
      <c r="D75">
        <v>10</v>
      </c>
      <c r="E75" s="1">
        <f t="shared" si="13"/>
        <v>0.8</v>
      </c>
      <c r="F75" s="1">
        <f t="shared" si="14"/>
        <v>0.2</v>
      </c>
      <c r="H75" t="s">
        <v>78</v>
      </c>
      <c r="I75">
        <f t="shared" si="10"/>
        <v>287853</v>
      </c>
      <c r="J75">
        <f t="shared" si="16"/>
        <v>401852</v>
      </c>
      <c r="K75">
        <f t="shared" si="11"/>
        <v>527387</v>
      </c>
      <c r="L75" s="1">
        <f t="shared" si="12"/>
        <v>0.54580981328701694</v>
      </c>
      <c r="M75">
        <f t="shared" si="15"/>
        <v>689946</v>
      </c>
    </row>
    <row r="76" spans="1:13" x14ac:dyDescent="0.45">
      <c r="A76">
        <v>74</v>
      </c>
      <c r="B76">
        <v>9</v>
      </c>
      <c r="C76">
        <v>1</v>
      </c>
      <c r="D76">
        <v>10</v>
      </c>
      <c r="E76" s="1">
        <f t="shared" si="13"/>
        <v>0.9</v>
      </c>
      <c r="F76" s="1">
        <f t="shared" si="14"/>
        <v>0.1</v>
      </c>
      <c r="H76" t="s">
        <v>79</v>
      </c>
      <c r="I76">
        <f t="shared" si="10"/>
        <v>287862</v>
      </c>
      <c r="J76">
        <f t="shared" si="16"/>
        <v>401853</v>
      </c>
      <c r="K76">
        <f t="shared" si="11"/>
        <v>527388</v>
      </c>
      <c r="L76" s="1">
        <f t="shared" si="12"/>
        <v>0.54582584359143549</v>
      </c>
      <c r="M76">
        <f t="shared" si="15"/>
        <v>689946</v>
      </c>
    </row>
    <row r="77" spans="1:13" x14ac:dyDescent="0.45">
      <c r="A77">
        <v>75</v>
      </c>
      <c r="B77">
        <v>7</v>
      </c>
      <c r="C77">
        <v>1</v>
      </c>
      <c r="D77">
        <v>8</v>
      </c>
      <c r="E77" s="1">
        <f t="shared" si="13"/>
        <v>0.875</v>
      </c>
      <c r="F77" s="1">
        <f t="shared" si="14"/>
        <v>0.125</v>
      </c>
      <c r="H77" t="s">
        <v>80</v>
      </c>
      <c r="I77">
        <f t="shared" si="10"/>
        <v>287869</v>
      </c>
      <c r="J77">
        <f t="shared" si="16"/>
        <v>401854</v>
      </c>
      <c r="K77">
        <f t="shared" si="11"/>
        <v>527389</v>
      </c>
      <c r="L77" s="1">
        <f t="shared" si="12"/>
        <v>0.54583808156787494</v>
      </c>
      <c r="M77">
        <f t="shared" si="15"/>
        <v>689946</v>
      </c>
    </row>
    <row r="78" spans="1:13" x14ac:dyDescent="0.45">
      <c r="A78">
        <v>76</v>
      </c>
      <c r="B78">
        <v>8</v>
      </c>
      <c r="C78">
        <v>2</v>
      </c>
      <c r="D78">
        <v>10</v>
      </c>
      <c r="E78" s="1">
        <f t="shared" si="13"/>
        <v>0.8</v>
      </c>
      <c r="F78" s="1">
        <f t="shared" si="14"/>
        <v>0.2</v>
      </c>
      <c r="H78" t="s">
        <v>81</v>
      </c>
      <c r="I78">
        <f t="shared" si="10"/>
        <v>287877</v>
      </c>
      <c r="J78">
        <f t="shared" si="16"/>
        <v>401856</v>
      </c>
      <c r="K78">
        <f t="shared" si="11"/>
        <v>527391</v>
      </c>
      <c r="L78" s="1">
        <f t="shared" si="12"/>
        <v>0.545851180623105</v>
      </c>
      <c r="M78">
        <f t="shared" si="15"/>
        <v>689946</v>
      </c>
    </row>
    <row r="79" spans="1:13" x14ac:dyDescent="0.45">
      <c r="A79">
        <v>77</v>
      </c>
      <c r="B79">
        <v>5</v>
      </c>
      <c r="C79">
        <v>1</v>
      </c>
      <c r="D79">
        <v>6</v>
      </c>
      <c r="E79" s="1">
        <f t="shared" si="13"/>
        <v>0.83333333333333337</v>
      </c>
      <c r="F79" s="1">
        <f t="shared" si="14"/>
        <v>0.16666666666666666</v>
      </c>
      <c r="H79" t="s">
        <v>82</v>
      </c>
      <c r="I79">
        <f t="shared" si="10"/>
        <v>287882</v>
      </c>
      <c r="J79">
        <f t="shared" si="16"/>
        <v>401857</v>
      </c>
      <c r="K79">
        <f t="shared" si="11"/>
        <v>527392</v>
      </c>
      <c r="L79" s="1">
        <f t="shared" si="12"/>
        <v>0.54585962623627204</v>
      </c>
      <c r="M79">
        <f t="shared" si="15"/>
        <v>689946</v>
      </c>
    </row>
    <row r="80" spans="1:13" x14ac:dyDescent="0.45">
      <c r="A80">
        <v>78</v>
      </c>
      <c r="B80">
        <v>7</v>
      </c>
      <c r="C80">
        <v>0</v>
      </c>
      <c r="D80">
        <v>7</v>
      </c>
      <c r="E80" s="1">
        <f t="shared" si="13"/>
        <v>1</v>
      </c>
      <c r="F80" s="1">
        <f t="shared" si="14"/>
        <v>0</v>
      </c>
      <c r="H80" t="s">
        <v>83</v>
      </c>
      <c r="I80">
        <f t="shared" si="10"/>
        <v>287889</v>
      </c>
      <c r="J80">
        <f t="shared" si="16"/>
        <v>401857</v>
      </c>
      <c r="K80">
        <f t="shared" si="11"/>
        <v>527392</v>
      </c>
      <c r="L80" s="1">
        <f t="shared" si="12"/>
        <v>0.54587289909592862</v>
      </c>
      <c r="M80">
        <f t="shared" si="15"/>
        <v>689946</v>
      </c>
    </row>
    <row r="81" spans="1:13" x14ac:dyDescent="0.45">
      <c r="A81">
        <v>79</v>
      </c>
      <c r="B81">
        <v>5</v>
      </c>
      <c r="C81">
        <v>0</v>
      </c>
      <c r="D81">
        <v>5</v>
      </c>
      <c r="E81" s="1">
        <f t="shared" si="13"/>
        <v>1</v>
      </c>
      <c r="F81" s="1">
        <f t="shared" si="14"/>
        <v>0</v>
      </c>
      <c r="H81" t="s">
        <v>84</v>
      </c>
      <c r="I81">
        <f t="shared" si="10"/>
        <v>287894</v>
      </c>
      <c r="J81">
        <f t="shared" si="16"/>
        <v>401857</v>
      </c>
      <c r="K81">
        <f t="shared" si="11"/>
        <v>527392</v>
      </c>
      <c r="L81" s="1">
        <f t="shared" si="12"/>
        <v>0.545882379709969</v>
      </c>
      <c r="M81">
        <f t="shared" si="15"/>
        <v>689946</v>
      </c>
    </row>
    <row r="82" spans="1:13" x14ac:dyDescent="0.45">
      <c r="A82">
        <v>80</v>
      </c>
      <c r="B82">
        <v>7</v>
      </c>
      <c r="C82">
        <v>0</v>
      </c>
      <c r="D82">
        <v>7</v>
      </c>
      <c r="E82" s="1">
        <f t="shared" si="13"/>
        <v>1</v>
      </c>
      <c r="F82" s="1">
        <f t="shared" si="14"/>
        <v>0</v>
      </c>
      <c r="H82" t="s">
        <v>85</v>
      </c>
      <c r="I82">
        <f t="shared" si="10"/>
        <v>287901</v>
      </c>
      <c r="J82">
        <f t="shared" si="16"/>
        <v>401857</v>
      </c>
      <c r="K82">
        <f t="shared" si="11"/>
        <v>527392</v>
      </c>
      <c r="L82" s="1">
        <f t="shared" si="12"/>
        <v>0.54589565256962558</v>
      </c>
      <c r="M82">
        <f t="shared" si="15"/>
        <v>689946</v>
      </c>
    </row>
    <row r="83" spans="1:13" x14ac:dyDescent="0.45">
      <c r="A83">
        <v>81</v>
      </c>
      <c r="B83">
        <v>5</v>
      </c>
      <c r="C83">
        <v>0</v>
      </c>
      <c r="D83">
        <v>5</v>
      </c>
      <c r="E83" s="1">
        <f t="shared" si="13"/>
        <v>1</v>
      </c>
      <c r="F83" s="1">
        <f t="shared" si="14"/>
        <v>0</v>
      </c>
      <c r="H83" t="s">
        <v>86</v>
      </c>
      <c r="I83">
        <f t="shared" si="10"/>
        <v>287906</v>
      </c>
      <c r="J83">
        <f t="shared" si="16"/>
        <v>401857</v>
      </c>
      <c r="K83">
        <f t="shared" si="11"/>
        <v>527392</v>
      </c>
      <c r="L83" s="1">
        <f t="shared" si="12"/>
        <v>0.54590513318366607</v>
      </c>
      <c r="M83">
        <f t="shared" si="15"/>
        <v>689946</v>
      </c>
    </row>
    <row r="84" spans="1:13" x14ac:dyDescent="0.45">
      <c r="A84">
        <v>82</v>
      </c>
      <c r="B84">
        <v>7</v>
      </c>
      <c r="C84">
        <v>0</v>
      </c>
      <c r="D84">
        <v>7</v>
      </c>
      <c r="E84" s="1">
        <f t="shared" si="13"/>
        <v>1</v>
      </c>
      <c r="F84" s="1">
        <f t="shared" si="14"/>
        <v>0</v>
      </c>
      <c r="H84" t="s">
        <v>87</v>
      </c>
      <c r="I84">
        <f t="shared" si="10"/>
        <v>287913</v>
      </c>
      <c r="J84">
        <f t="shared" si="16"/>
        <v>401857</v>
      </c>
      <c r="K84">
        <f t="shared" si="11"/>
        <v>527392</v>
      </c>
      <c r="L84" s="1">
        <f t="shared" si="12"/>
        <v>0.54591840604332265</v>
      </c>
      <c r="M84">
        <f t="shared" si="15"/>
        <v>689946</v>
      </c>
    </row>
    <row r="85" spans="1:13" x14ac:dyDescent="0.45">
      <c r="A85">
        <v>83</v>
      </c>
      <c r="B85">
        <v>5</v>
      </c>
      <c r="C85">
        <v>2</v>
      </c>
      <c r="D85">
        <v>7</v>
      </c>
      <c r="E85" s="1">
        <f t="shared" si="13"/>
        <v>0.7142857142857143</v>
      </c>
      <c r="F85" s="1">
        <f t="shared" si="14"/>
        <v>0.2857142857142857</v>
      </c>
      <c r="H85" t="s">
        <v>88</v>
      </c>
      <c r="I85">
        <f t="shared" si="10"/>
        <v>287918</v>
      </c>
      <c r="J85">
        <f t="shared" si="16"/>
        <v>401859</v>
      </c>
      <c r="K85">
        <f t="shared" si="11"/>
        <v>527394</v>
      </c>
      <c r="L85" s="1">
        <f t="shared" si="12"/>
        <v>0.54592581637257909</v>
      </c>
      <c r="M85">
        <f t="shared" si="15"/>
        <v>689946</v>
      </c>
    </row>
    <row r="86" spans="1:13" x14ac:dyDescent="0.45">
      <c r="A86">
        <v>84</v>
      </c>
      <c r="B86">
        <v>5</v>
      </c>
      <c r="C86">
        <v>1</v>
      </c>
      <c r="D86">
        <v>6</v>
      </c>
      <c r="E86" s="1">
        <f t="shared" si="13"/>
        <v>0.83333333333333337</v>
      </c>
      <c r="F86" s="1">
        <f t="shared" si="14"/>
        <v>0.16666666666666666</v>
      </c>
      <c r="H86" t="s">
        <v>89</v>
      </c>
      <c r="I86">
        <f t="shared" si="10"/>
        <v>287923</v>
      </c>
      <c r="J86">
        <f t="shared" si="16"/>
        <v>401860</v>
      </c>
      <c r="K86">
        <f t="shared" si="11"/>
        <v>527395</v>
      </c>
      <c r="L86" s="1">
        <f t="shared" si="12"/>
        <v>0.54593426179618687</v>
      </c>
      <c r="M86">
        <f t="shared" si="15"/>
        <v>689946</v>
      </c>
    </row>
    <row r="87" spans="1:13" x14ac:dyDescent="0.45">
      <c r="A87">
        <v>85</v>
      </c>
      <c r="B87">
        <v>4</v>
      </c>
      <c r="C87">
        <v>1</v>
      </c>
      <c r="D87">
        <v>5</v>
      </c>
      <c r="E87" s="1">
        <f t="shared" si="13"/>
        <v>0.8</v>
      </c>
      <c r="F87" s="1">
        <f t="shared" si="14"/>
        <v>0.2</v>
      </c>
      <c r="H87" t="s">
        <v>90</v>
      </c>
      <c r="I87">
        <f t="shared" si="10"/>
        <v>287927</v>
      </c>
      <c r="J87">
        <f t="shared" si="16"/>
        <v>401861</v>
      </c>
      <c r="K87">
        <f t="shared" si="11"/>
        <v>527396</v>
      </c>
      <c r="L87" s="1">
        <f t="shared" si="12"/>
        <v>0.54594081107934078</v>
      </c>
      <c r="M87">
        <f t="shared" si="15"/>
        <v>689946</v>
      </c>
    </row>
    <row r="88" spans="1:13" x14ac:dyDescent="0.45">
      <c r="A88">
        <v>86</v>
      </c>
      <c r="B88">
        <v>4</v>
      </c>
      <c r="C88">
        <v>0</v>
      </c>
      <c r="D88">
        <v>4</v>
      </c>
      <c r="E88" s="1">
        <f t="shared" si="13"/>
        <v>1</v>
      </c>
      <c r="F88" s="1">
        <f t="shared" si="14"/>
        <v>0</v>
      </c>
      <c r="H88" t="s">
        <v>91</v>
      </c>
      <c r="I88">
        <f t="shared" si="10"/>
        <v>287931</v>
      </c>
      <c r="J88">
        <f t="shared" si="16"/>
        <v>401861</v>
      </c>
      <c r="K88">
        <f t="shared" si="11"/>
        <v>527396</v>
      </c>
      <c r="L88" s="1">
        <f t="shared" si="12"/>
        <v>0.54594839551304897</v>
      </c>
      <c r="M88">
        <f t="shared" si="15"/>
        <v>689946</v>
      </c>
    </row>
    <row r="89" spans="1:13" x14ac:dyDescent="0.45">
      <c r="A89">
        <v>87</v>
      </c>
      <c r="B89">
        <v>4</v>
      </c>
      <c r="C89">
        <v>0</v>
      </c>
      <c r="D89">
        <v>4</v>
      </c>
      <c r="E89" s="1">
        <f t="shared" si="13"/>
        <v>1</v>
      </c>
      <c r="F89" s="1">
        <f t="shared" si="14"/>
        <v>0</v>
      </c>
      <c r="H89" t="s">
        <v>92</v>
      </c>
      <c r="I89">
        <f t="shared" si="10"/>
        <v>287935</v>
      </c>
      <c r="J89">
        <f t="shared" si="16"/>
        <v>401861</v>
      </c>
      <c r="K89">
        <f t="shared" si="11"/>
        <v>527396</v>
      </c>
      <c r="L89" s="1">
        <f t="shared" si="12"/>
        <v>0.54595597994675726</v>
      </c>
      <c r="M89">
        <f t="shared" si="15"/>
        <v>689946</v>
      </c>
    </row>
    <row r="90" spans="1:13" x14ac:dyDescent="0.45">
      <c r="A90">
        <v>88</v>
      </c>
      <c r="B90">
        <v>4</v>
      </c>
      <c r="C90">
        <v>0</v>
      </c>
      <c r="D90">
        <v>4</v>
      </c>
      <c r="E90" s="1">
        <f t="shared" si="13"/>
        <v>1</v>
      </c>
      <c r="F90" s="1">
        <f t="shared" si="14"/>
        <v>0</v>
      </c>
      <c r="H90" t="s">
        <v>93</v>
      </c>
      <c r="I90">
        <f t="shared" si="10"/>
        <v>287939</v>
      </c>
      <c r="J90">
        <f t="shared" si="16"/>
        <v>401861</v>
      </c>
      <c r="K90">
        <f t="shared" si="11"/>
        <v>527396</v>
      </c>
      <c r="L90" s="1">
        <f t="shared" si="12"/>
        <v>0.54596356438046556</v>
      </c>
      <c r="M90">
        <f t="shared" si="15"/>
        <v>689946</v>
      </c>
    </row>
    <row r="91" spans="1:13" x14ac:dyDescent="0.45">
      <c r="A91">
        <v>89</v>
      </c>
      <c r="B91">
        <v>4</v>
      </c>
      <c r="C91">
        <v>0</v>
      </c>
      <c r="D91">
        <v>4</v>
      </c>
      <c r="E91" s="1">
        <f t="shared" si="13"/>
        <v>1</v>
      </c>
      <c r="F91" s="1">
        <f t="shared" si="14"/>
        <v>0</v>
      </c>
      <c r="H91" t="s">
        <v>94</v>
      </c>
      <c r="I91">
        <f t="shared" ref="I91:I154" si="17">B91+I90</f>
        <v>287943</v>
      </c>
      <c r="J91">
        <f t="shared" si="16"/>
        <v>401861</v>
      </c>
      <c r="K91">
        <f t="shared" ref="K91:K154" si="18">C91+K90</f>
        <v>527396</v>
      </c>
      <c r="L91" s="1">
        <f t="shared" si="12"/>
        <v>0.54597114881417375</v>
      </c>
      <c r="M91">
        <f t="shared" si="15"/>
        <v>689946</v>
      </c>
    </row>
    <row r="92" spans="1:13" x14ac:dyDescent="0.45">
      <c r="A92">
        <v>90</v>
      </c>
      <c r="B92">
        <v>4</v>
      </c>
      <c r="C92">
        <v>0</v>
      </c>
      <c r="D92">
        <v>4</v>
      </c>
      <c r="E92" s="1">
        <f t="shared" si="13"/>
        <v>1</v>
      </c>
      <c r="F92" s="1">
        <f t="shared" si="14"/>
        <v>0</v>
      </c>
      <c r="H92" t="s">
        <v>95</v>
      </c>
      <c r="I92">
        <f t="shared" si="17"/>
        <v>287947</v>
      </c>
      <c r="J92">
        <f t="shared" si="16"/>
        <v>401861</v>
      </c>
      <c r="K92">
        <f t="shared" si="18"/>
        <v>527396</v>
      </c>
      <c r="L92" s="1">
        <f t="shared" si="12"/>
        <v>0.54597873324788204</v>
      </c>
      <c r="M92">
        <f t="shared" si="15"/>
        <v>689946</v>
      </c>
    </row>
    <row r="93" spans="1:13" x14ac:dyDescent="0.45">
      <c r="A93">
        <v>91</v>
      </c>
      <c r="B93">
        <v>4</v>
      </c>
      <c r="C93">
        <v>0</v>
      </c>
      <c r="D93">
        <v>4</v>
      </c>
      <c r="E93" s="1">
        <f t="shared" si="13"/>
        <v>1</v>
      </c>
      <c r="F93" s="1">
        <f t="shared" si="14"/>
        <v>0</v>
      </c>
      <c r="H93" t="s">
        <v>96</v>
      </c>
      <c r="I93">
        <f t="shared" si="17"/>
        <v>287951</v>
      </c>
      <c r="J93">
        <f t="shared" si="16"/>
        <v>401861</v>
      </c>
      <c r="K93">
        <f t="shared" si="18"/>
        <v>527396</v>
      </c>
      <c r="L93" s="1">
        <f t="shared" si="12"/>
        <v>0.54598631768159034</v>
      </c>
      <c r="M93">
        <f t="shared" si="15"/>
        <v>689946</v>
      </c>
    </row>
    <row r="94" spans="1:13" x14ac:dyDescent="0.45">
      <c r="A94">
        <v>92</v>
      </c>
      <c r="B94">
        <v>4</v>
      </c>
      <c r="C94">
        <v>0</v>
      </c>
      <c r="D94">
        <v>4</v>
      </c>
      <c r="E94" s="1">
        <f t="shared" si="13"/>
        <v>1</v>
      </c>
      <c r="F94" s="1">
        <f t="shared" si="14"/>
        <v>0</v>
      </c>
      <c r="H94" t="s">
        <v>97</v>
      </c>
      <c r="I94">
        <f t="shared" si="17"/>
        <v>287955</v>
      </c>
      <c r="J94">
        <f t="shared" si="16"/>
        <v>401861</v>
      </c>
      <c r="K94">
        <f t="shared" si="18"/>
        <v>527396</v>
      </c>
      <c r="L94" s="1">
        <f t="shared" si="12"/>
        <v>0.54599390211529852</v>
      </c>
      <c r="M94">
        <f t="shared" si="15"/>
        <v>689946</v>
      </c>
    </row>
    <row r="95" spans="1:13" x14ac:dyDescent="0.45">
      <c r="A95">
        <v>93</v>
      </c>
      <c r="B95">
        <v>4</v>
      </c>
      <c r="C95">
        <v>0</v>
      </c>
      <c r="D95">
        <v>4</v>
      </c>
      <c r="E95" s="1">
        <f t="shared" si="13"/>
        <v>1</v>
      </c>
      <c r="F95" s="1">
        <f t="shared" si="14"/>
        <v>0</v>
      </c>
      <c r="H95" t="s">
        <v>98</v>
      </c>
      <c r="I95">
        <f t="shared" si="17"/>
        <v>287959</v>
      </c>
      <c r="J95">
        <f t="shared" si="16"/>
        <v>401861</v>
      </c>
      <c r="K95">
        <f t="shared" si="18"/>
        <v>527396</v>
      </c>
      <c r="L95" s="1">
        <f t="shared" ref="L95:L157" si="19">I95/K95</f>
        <v>0.54600148654900682</v>
      </c>
      <c r="M95">
        <f t="shared" si="15"/>
        <v>689946</v>
      </c>
    </row>
    <row r="96" spans="1:13" x14ac:dyDescent="0.45">
      <c r="A96">
        <v>94</v>
      </c>
      <c r="B96">
        <v>4</v>
      </c>
      <c r="C96">
        <v>0</v>
      </c>
      <c r="D96">
        <v>4</v>
      </c>
      <c r="E96" s="1">
        <f t="shared" si="13"/>
        <v>1</v>
      </c>
      <c r="F96" s="1">
        <f t="shared" si="14"/>
        <v>0</v>
      </c>
      <c r="H96" t="s">
        <v>99</v>
      </c>
      <c r="I96">
        <f t="shared" si="17"/>
        <v>287963</v>
      </c>
      <c r="J96">
        <f t="shared" si="16"/>
        <v>401861</v>
      </c>
      <c r="K96">
        <f t="shared" si="18"/>
        <v>527396</v>
      </c>
      <c r="L96" s="1">
        <f t="shared" si="19"/>
        <v>0.54600907098271512</v>
      </c>
      <c r="M96">
        <f t="shared" si="15"/>
        <v>689946</v>
      </c>
    </row>
    <row r="97" spans="1:13" x14ac:dyDescent="0.45">
      <c r="A97">
        <v>95</v>
      </c>
      <c r="B97">
        <v>4</v>
      </c>
      <c r="C97">
        <v>0</v>
      </c>
      <c r="D97">
        <v>4</v>
      </c>
      <c r="E97" s="1">
        <f t="shared" si="13"/>
        <v>1</v>
      </c>
      <c r="F97" s="1">
        <f t="shared" si="14"/>
        <v>0</v>
      </c>
      <c r="H97" t="s">
        <v>100</v>
      </c>
      <c r="I97">
        <f t="shared" si="17"/>
        <v>287967</v>
      </c>
      <c r="J97">
        <f t="shared" si="16"/>
        <v>401861</v>
      </c>
      <c r="K97">
        <f t="shared" si="18"/>
        <v>527396</v>
      </c>
      <c r="L97" s="1">
        <f t="shared" si="19"/>
        <v>0.5460166554164233</v>
      </c>
      <c r="M97">
        <f t="shared" si="15"/>
        <v>689946</v>
      </c>
    </row>
    <row r="98" spans="1:13" x14ac:dyDescent="0.45">
      <c r="A98">
        <v>96</v>
      </c>
      <c r="B98">
        <v>4</v>
      </c>
      <c r="C98">
        <v>0</v>
      </c>
      <c r="D98">
        <v>4</v>
      </c>
      <c r="E98" s="1">
        <f t="shared" si="13"/>
        <v>1</v>
      </c>
      <c r="F98" s="1">
        <f t="shared" si="14"/>
        <v>0</v>
      </c>
      <c r="H98" t="s">
        <v>101</v>
      </c>
      <c r="I98">
        <f t="shared" si="17"/>
        <v>287971</v>
      </c>
      <c r="J98">
        <f t="shared" si="16"/>
        <v>401861</v>
      </c>
      <c r="K98">
        <f t="shared" si="18"/>
        <v>527396</v>
      </c>
      <c r="L98" s="1">
        <f t="shared" si="19"/>
        <v>0.5460242398501316</v>
      </c>
      <c r="M98">
        <f t="shared" si="15"/>
        <v>689946</v>
      </c>
    </row>
    <row r="99" spans="1:13" x14ac:dyDescent="0.45">
      <c r="A99">
        <v>97</v>
      </c>
      <c r="B99">
        <v>4</v>
      </c>
      <c r="C99">
        <v>1</v>
      </c>
      <c r="D99">
        <v>5</v>
      </c>
      <c r="E99" s="1">
        <f t="shared" si="13"/>
        <v>0.8</v>
      </c>
      <c r="F99" s="1">
        <f t="shared" si="14"/>
        <v>0.2</v>
      </c>
      <c r="H99" t="s">
        <v>102</v>
      </c>
      <c r="I99">
        <f t="shared" si="17"/>
        <v>287975</v>
      </c>
      <c r="J99">
        <f t="shared" si="16"/>
        <v>401862</v>
      </c>
      <c r="K99">
        <f t="shared" si="18"/>
        <v>527397</v>
      </c>
      <c r="L99" s="1">
        <f t="shared" si="19"/>
        <v>0.54603078895025947</v>
      </c>
      <c r="M99">
        <f t="shared" si="15"/>
        <v>689946</v>
      </c>
    </row>
    <row r="100" spans="1:13" x14ac:dyDescent="0.45">
      <c r="A100">
        <v>98</v>
      </c>
      <c r="B100">
        <v>3</v>
      </c>
      <c r="C100">
        <v>0</v>
      </c>
      <c r="D100">
        <v>3</v>
      </c>
      <c r="E100" s="1">
        <f t="shared" si="13"/>
        <v>1</v>
      </c>
      <c r="F100" s="1">
        <f t="shared" si="14"/>
        <v>0</v>
      </c>
      <c r="H100" t="s">
        <v>103</v>
      </c>
      <c r="I100">
        <f t="shared" si="17"/>
        <v>287978</v>
      </c>
      <c r="J100">
        <f t="shared" si="16"/>
        <v>401862</v>
      </c>
      <c r="K100">
        <f t="shared" si="18"/>
        <v>527397</v>
      </c>
      <c r="L100" s="1">
        <f t="shared" si="19"/>
        <v>0.54603647726475502</v>
      </c>
      <c r="M100">
        <f t="shared" si="15"/>
        <v>689946</v>
      </c>
    </row>
    <row r="101" spans="1:13" x14ac:dyDescent="0.45">
      <c r="A101">
        <v>99</v>
      </c>
      <c r="B101">
        <v>4</v>
      </c>
      <c r="C101">
        <v>0</v>
      </c>
      <c r="D101">
        <v>4</v>
      </c>
      <c r="E101" s="1">
        <f t="shared" si="13"/>
        <v>1</v>
      </c>
      <c r="F101" s="1">
        <f t="shared" si="14"/>
        <v>0</v>
      </c>
      <c r="H101" t="s">
        <v>104</v>
      </c>
      <c r="I101">
        <f t="shared" si="17"/>
        <v>287982</v>
      </c>
      <c r="J101">
        <f t="shared" si="16"/>
        <v>401862</v>
      </c>
      <c r="K101">
        <f t="shared" si="18"/>
        <v>527397</v>
      </c>
      <c r="L101" s="1">
        <f t="shared" si="19"/>
        <v>0.54604406168408237</v>
      </c>
      <c r="M101">
        <f t="shared" si="15"/>
        <v>689946</v>
      </c>
    </row>
    <row r="102" spans="1:13" x14ac:dyDescent="0.45">
      <c r="A102">
        <v>100</v>
      </c>
      <c r="B102">
        <v>3</v>
      </c>
      <c r="C102">
        <v>0</v>
      </c>
      <c r="D102">
        <v>3</v>
      </c>
      <c r="E102" s="1">
        <f t="shared" si="13"/>
        <v>1</v>
      </c>
      <c r="F102" s="1">
        <f t="shared" si="14"/>
        <v>0</v>
      </c>
      <c r="H102" t="s">
        <v>105</v>
      </c>
      <c r="I102">
        <f t="shared" si="17"/>
        <v>287985</v>
      </c>
      <c r="J102">
        <f t="shared" si="16"/>
        <v>401862</v>
      </c>
      <c r="K102">
        <f t="shared" si="18"/>
        <v>527397</v>
      </c>
      <c r="L102" s="1">
        <f t="shared" si="19"/>
        <v>0.54604974999857792</v>
      </c>
      <c r="M102">
        <f t="shared" si="15"/>
        <v>689946</v>
      </c>
    </row>
    <row r="103" spans="1:13" x14ac:dyDescent="0.45">
      <c r="A103">
        <v>101</v>
      </c>
      <c r="B103">
        <v>4</v>
      </c>
      <c r="C103">
        <v>0</v>
      </c>
      <c r="D103">
        <v>4</v>
      </c>
      <c r="E103" s="1">
        <f t="shared" si="13"/>
        <v>1</v>
      </c>
      <c r="F103" s="1">
        <f t="shared" si="14"/>
        <v>0</v>
      </c>
      <c r="H103" t="s">
        <v>106</v>
      </c>
      <c r="I103">
        <f t="shared" si="17"/>
        <v>287989</v>
      </c>
      <c r="J103">
        <f t="shared" si="16"/>
        <v>401862</v>
      </c>
      <c r="K103">
        <f t="shared" si="18"/>
        <v>527397</v>
      </c>
      <c r="L103" s="1">
        <f t="shared" si="19"/>
        <v>0.54605733441790527</v>
      </c>
      <c r="M103">
        <f t="shared" si="15"/>
        <v>689946</v>
      </c>
    </row>
    <row r="104" spans="1:13" x14ac:dyDescent="0.45">
      <c r="A104">
        <v>102</v>
      </c>
      <c r="B104">
        <v>3</v>
      </c>
      <c r="C104">
        <v>0</v>
      </c>
      <c r="D104">
        <v>3</v>
      </c>
      <c r="E104" s="1">
        <f t="shared" si="13"/>
        <v>1</v>
      </c>
      <c r="F104" s="1">
        <f t="shared" si="14"/>
        <v>0</v>
      </c>
      <c r="H104" t="s">
        <v>107</v>
      </c>
      <c r="I104">
        <f t="shared" si="17"/>
        <v>287992</v>
      </c>
      <c r="J104">
        <f t="shared" si="16"/>
        <v>401862</v>
      </c>
      <c r="K104">
        <f t="shared" si="18"/>
        <v>527397</v>
      </c>
      <c r="L104" s="1">
        <f t="shared" si="19"/>
        <v>0.54606302273240082</v>
      </c>
      <c r="M104">
        <f t="shared" si="15"/>
        <v>689946</v>
      </c>
    </row>
    <row r="105" spans="1:13" x14ac:dyDescent="0.45">
      <c r="A105">
        <v>103</v>
      </c>
      <c r="B105">
        <v>4</v>
      </c>
      <c r="C105">
        <v>1</v>
      </c>
      <c r="D105">
        <v>5</v>
      </c>
      <c r="E105" s="1">
        <f t="shared" si="13"/>
        <v>0.8</v>
      </c>
      <c r="F105" s="1">
        <f t="shared" si="14"/>
        <v>0.2</v>
      </c>
      <c r="H105" t="s">
        <v>108</v>
      </c>
      <c r="I105">
        <f t="shared" si="17"/>
        <v>287996</v>
      </c>
      <c r="J105">
        <f t="shared" si="16"/>
        <v>401863</v>
      </c>
      <c r="K105">
        <f t="shared" si="18"/>
        <v>527398</v>
      </c>
      <c r="L105" s="1">
        <f t="shared" si="19"/>
        <v>0.54606957174657467</v>
      </c>
      <c r="M105">
        <f t="shared" si="15"/>
        <v>689946</v>
      </c>
    </row>
    <row r="106" spans="1:13" x14ac:dyDescent="0.45">
      <c r="A106">
        <v>104</v>
      </c>
      <c r="B106">
        <v>2</v>
      </c>
      <c r="C106">
        <v>0</v>
      </c>
      <c r="D106">
        <v>2</v>
      </c>
      <c r="E106" s="1">
        <f t="shared" si="13"/>
        <v>1</v>
      </c>
      <c r="F106" s="1">
        <f t="shared" si="14"/>
        <v>0</v>
      </c>
      <c r="H106" t="s">
        <v>109</v>
      </c>
      <c r="I106">
        <f t="shared" si="17"/>
        <v>287998</v>
      </c>
      <c r="J106">
        <f t="shared" si="16"/>
        <v>401863</v>
      </c>
      <c r="K106">
        <f t="shared" si="18"/>
        <v>527398</v>
      </c>
      <c r="L106" s="1">
        <f t="shared" si="19"/>
        <v>0.54607336394904793</v>
      </c>
      <c r="M106">
        <f t="shared" si="15"/>
        <v>689946</v>
      </c>
    </row>
    <row r="107" spans="1:13" x14ac:dyDescent="0.45">
      <c r="A107">
        <v>105</v>
      </c>
      <c r="B107">
        <v>4</v>
      </c>
      <c r="C107">
        <v>0</v>
      </c>
      <c r="D107">
        <v>4</v>
      </c>
      <c r="E107" s="1">
        <f t="shared" si="13"/>
        <v>1</v>
      </c>
      <c r="F107" s="1">
        <f t="shared" si="14"/>
        <v>0</v>
      </c>
      <c r="H107" t="s">
        <v>110</v>
      </c>
      <c r="I107">
        <f t="shared" si="17"/>
        <v>288002</v>
      </c>
      <c r="J107">
        <f t="shared" si="16"/>
        <v>401863</v>
      </c>
      <c r="K107">
        <f t="shared" si="18"/>
        <v>527398</v>
      </c>
      <c r="L107" s="1">
        <f t="shared" si="19"/>
        <v>0.54608094835399457</v>
      </c>
      <c r="M107">
        <f t="shared" si="15"/>
        <v>689946</v>
      </c>
    </row>
    <row r="108" spans="1:13" x14ac:dyDescent="0.45">
      <c r="A108">
        <v>106</v>
      </c>
      <c r="B108">
        <v>2</v>
      </c>
      <c r="C108">
        <v>1</v>
      </c>
      <c r="D108">
        <v>3</v>
      </c>
      <c r="E108" s="1">
        <f t="shared" si="13"/>
        <v>0.66666666666666663</v>
      </c>
      <c r="F108" s="1">
        <f t="shared" si="14"/>
        <v>0.33333333333333331</v>
      </c>
      <c r="H108" t="s">
        <v>111</v>
      </c>
      <c r="I108">
        <f t="shared" si="17"/>
        <v>288004</v>
      </c>
      <c r="J108">
        <f t="shared" si="16"/>
        <v>401864</v>
      </c>
      <c r="K108">
        <f t="shared" si="18"/>
        <v>527399</v>
      </c>
      <c r="L108" s="1">
        <f t="shared" si="19"/>
        <v>0.54608370512647919</v>
      </c>
      <c r="M108">
        <f t="shared" si="15"/>
        <v>689946</v>
      </c>
    </row>
    <row r="109" spans="1:13" x14ac:dyDescent="0.45">
      <c r="A109">
        <v>107</v>
      </c>
      <c r="B109">
        <v>3</v>
      </c>
      <c r="C109">
        <v>0</v>
      </c>
      <c r="D109">
        <v>3</v>
      </c>
      <c r="E109" s="1">
        <f t="shared" si="13"/>
        <v>1</v>
      </c>
      <c r="F109" s="1">
        <f t="shared" si="14"/>
        <v>0</v>
      </c>
      <c r="H109" t="s">
        <v>112</v>
      </c>
      <c r="I109">
        <f t="shared" si="17"/>
        <v>288007</v>
      </c>
      <c r="J109">
        <f t="shared" si="16"/>
        <v>401864</v>
      </c>
      <c r="K109">
        <f t="shared" si="18"/>
        <v>527399</v>
      </c>
      <c r="L109" s="1">
        <f t="shared" si="19"/>
        <v>0.54608939341940355</v>
      </c>
      <c r="M109">
        <f t="shared" si="15"/>
        <v>689946</v>
      </c>
    </row>
    <row r="110" spans="1:13" x14ac:dyDescent="0.45">
      <c r="A110">
        <v>108</v>
      </c>
      <c r="B110">
        <v>2</v>
      </c>
      <c r="C110">
        <v>1</v>
      </c>
      <c r="D110">
        <v>3</v>
      </c>
      <c r="E110" s="1">
        <f t="shared" si="13"/>
        <v>0.66666666666666663</v>
      </c>
      <c r="F110" s="1">
        <f t="shared" si="14"/>
        <v>0.33333333333333331</v>
      </c>
      <c r="H110" t="s">
        <v>113</v>
      </c>
      <c r="I110">
        <f t="shared" si="17"/>
        <v>288009</v>
      </c>
      <c r="J110">
        <f t="shared" si="16"/>
        <v>401865</v>
      </c>
      <c r="K110">
        <f t="shared" si="18"/>
        <v>527400</v>
      </c>
      <c r="L110" s="1">
        <f t="shared" si="19"/>
        <v>0.54609215017064849</v>
      </c>
      <c r="M110">
        <f t="shared" si="15"/>
        <v>689946</v>
      </c>
    </row>
    <row r="111" spans="1:13" x14ac:dyDescent="0.45">
      <c r="A111">
        <v>109</v>
      </c>
      <c r="B111">
        <v>2</v>
      </c>
      <c r="C111">
        <v>0</v>
      </c>
      <c r="D111">
        <v>2</v>
      </c>
      <c r="E111" s="1">
        <f t="shared" si="13"/>
        <v>1</v>
      </c>
      <c r="F111" s="1">
        <f t="shared" si="14"/>
        <v>0</v>
      </c>
      <c r="H111" t="s">
        <v>114</v>
      </c>
      <c r="I111">
        <f t="shared" si="17"/>
        <v>288011</v>
      </c>
      <c r="J111">
        <f t="shared" si="16"/>
        <v>401865</v>
      </c>
      <c r="K111">
        <f t="shared" si="18"/>
        <v>527400</v>
      </c>
      <c r="L111" s="1">
        <f t="shared" si="19"/>
        <v>0.54609594235874104</v>
      </c>
      <c r="M111">
        <f t="shared" si="15"/>
        <v>689946</v>
      </c>
    </row>
    <row r="112" spans="1:13" x14ac:dyDescent="0.45">
      <c r="A112">
        <v>110</v>
      </c>
      <c r="B112">
        <v>2</v>
      </c>
      <c r="C112">
        <v>0</v>
      </c>
      <c r="D112">
        <v>2</v>
      </c>
      <c r="E112" s="1">
        <f t="shared" si="13"/>
        <v>1</v>
      </c>
      <c r="F112" s="1">
        <f t="shared" si="14"/>
        <v>0</v>
      </c>
      <c r="H112" t="s">
        <v>115</v>
      </c>
      <c r="I112">
        <f t="shared" si="17"/>
        <v>288013</v>
      </c>
      <c r="J112">
        <f t="shared" si="16"/>
        <v>401865</v>
      </c>
      <c r="K112">
        <f t="shared" si="18"/>
        <v>527400</v>
      </c>
      <c r="L112" s="1">
        <f t="shared" si="19"/>
        <v>0.54609973454683347</v>
      </c>
      <c r="M112">
        <f t="shared" si="15"/>
        <v>689946</v>
      </c>
    </row>
    <row r="113" spans="1:13" x14ac:dyDescent="0.45">
      <c r="A113">
        <v>111</v>
      </c>
      <c r="B113">
        <v>2</v>
      </c>
      <c r="C113">
        <v>0</v>
      </c>
      <c r="D113">
        <v>2</v>
      </c>
      <c r="E113" s="1">
        <f t="shared" si="13"/>
        <v>1</v>
      </c>
      <c r="F113" s="1">
        <f t="shared" si="14"/>
        <v>0</v>
      </c>
      <c r="H113" t="s">
        <v>116</v>
      </c>
      <c r="I113">
        <f t="shared" si="17"/>
        <v>288015</v>
      </c>
      <c r="J113">
        <f t="shared" si="16"/>
        <v>401865</v>
      </c>
      <c r="K113">
        <f t="shared" si="18"/>
        <v>527400</v>
      </c>
      <c r="L113" s="1">
        <f t="shared" si="19"/>
        <v>0.54610352673492601</v>
      </c>
      <c r="M113">
        <f t="shared" si="15"/>
        <v>689946</v>
      </c>
    </row>
    <row r="114" spans="1:13" x14ac:dyDescent="0.45">
      <c r="A114">
        <v>112</v>
      </c>
      <c r="B114">
        <v>2</v>
      </c>
      <c r="C114">
        <v>0</v>
      </c>
      <c r="D114">
        <v>2</v>
      </c>
      <c r="E114" s="1">
        <f t="shared" si="13"/>
        <v>1</v>
      </c>
      <c r="F114" s="1">
        <f t="shared" si="14"/>
        <v>0</v>
      </c>
      <c r="H114" t="s">
        <v>117</v>
      </c>
      <c r="I114">
        <f t="shared" si="17"/>
        <v>288017</v>
      </c>
      <c r="J114">
        <f t="shared" si="16"/>
        <v>401865</v>
      </c>
      <c r="K114">
        <f t="shared" si="18"/>
        <v>527400</v>
      </c>
      <c r="L114" s="1">
        <f t="shared" si="19"/>
        <v>0.54610731892301856</v>
      </c>
      <c r="M114">
        <f t="shared" si="15"/>
        <v>689946</v>
      </c>
    </row>
    <row r="115" spans="1:13" x14ac:dyDescent="0.45">
      <c r="A115">
        <v>113</v>
      </c>
      <c r="B115">
        <v>2</v>
      </c>
      <c r="C115">
        <v>0</v>
      </c>
      <c r="D115">
        <v>2</v>
      </c>
      <c r="E115" s="1">
        <f t="shared" si="13"/>
        <v>1</v>
      </c>
      <c r="F115" s="1">
        <f t="shared" si="14"/>
        <v>0</v>
      </c>
      <c r="H115" t="s">
        <v>118</v>
      </c>
      <c r="I115">
        <f t="shared" si="17"/>
        <v>288019</v>
      </c>
      <c r="J115">
        <f t="shared" si="16"/>
        <v>401865</v>
      </c>
      <c r="K115">
        <f t="shared" si="18"/>
        <v>527400</v>
      </c>
      <c r="L115" s="1">
        <f t="shared" si="19"/>
        <v>0.5461111111111111</v>
      </c>
      <c r="M115">
        <f t="shared" si="15"/>
        <v>689946</v>
      </c>
    </row>
    <row r="116" spans="1:13" x14ac:dyDescent="0.45">
      <c r="A116">
        <v>114</v>
      </c>
      <c r="B116">
        <v>2</v>
      </c>
      <c r="C116">
        <v>0</v>
      </c>
      <c r="D116">
        <v>2</v>
      </c>
      <c r="E116" s="1">
        <f t="shared" si="13"/>
        <v>1</v>
      </c>
      <c r="F116" s="1">
        <f t="shared" si="14"/>
        <v>0</v>
      </c>
      <c r="H116" t="s">
        <v>119</v>
      </c>
      <c r="I116">
        <f t="shared" si="17"/>
        <v>288021</v>
      </c>
      <c r="J116">
        <f t="shared" si="16"/>
        <v>401865</v>
      </c>
      <c r="K116">
        <f t="shared" si="18"/>
        <v>527400</v>
      </c>
      <c r="L116" s="1">
        <f t="shared" si="19"/>
        <v>0.54611490329920365</v>
      </c>
      <c r="M116">
        <f t="shared" si="15"/>
        <v>689946</v>
      </c>
    </row>
    <row r="117" spans="1:13" x14ac:dyDescent="0.45">
      <c r="A117">
        <v>115</v>
      </c>
      <c r="B117">
        <v>2</v>
      </c>
      <c r="C117">
        <v>0</v>
      </c>
      <c r="D117">
        <v>2</v>
      </c>
      <c r="E117" s="1">
        <f t="shared" si="13"/>
        <v>1</v>
      </c>
      <c r="F117" s="1">
        <f t="shared" si="14"/>
        <v>0</v>
      </c>
      <c r="H117" t="s">
        <v>120</v>
      </c>
      <c r="I117">
        <f t="shared" si="17"/>
        <v>288023</v>
      </c>
      <c r="J117">
        <f t="shared" si="16"/>
        <v>401865</v>
      </c>
      <c r="K117">
        <f t="shared" si="18"/>
        <v>527400</v>
      </c>
      <c r="L117" s="1">
        <f t="shared" si="19"/>
        <v>0.54611869548729619</v>
      </c>
      <c r="M117">
        <f t="shared" si="15"/>
        <v>689946</v>
      </c>
    </row>
    <row r="118" spans="1:13" x14ac:dyDescent="0.45">
      <c r="A118">
        <v>116</v>
      </c>
      <c r="B118">
        <v>2</v>
      </c>
      <c r="C118">
        <v>1</v>
      </c>
      <c r="D118">
        <v>3</v>
      </c>
      <c r="E118" s="1">
        <f t="shared" si="13"/>
        <v>0.66666666666666663</v>
      </c>
      <c r="F118" s="1">
        <f t="shared" si="14"/>
        <v>0.33333333333333331</v>
      </c>
      <c r="H118" t="s">
        <v>121</v>
      </c>
      <c r="I118">
        <f t="shared" si="17"/>
        <v>288025</v>
      </c>
      <c r="J118">
        <f t="shared" si="16"/>
        <v>401866</v>
      </c>
      <c r="K118">
        <f t="shared" si="18"/>
        <v>527401</v>
      </c>
      <c r="L118" s="1">
        <f t="shared" si="19"/>
        <v>0.54612145217775465</v>
      </c>
      <c r="M118">
        <f t="shared" si="15"/>
        <v>689946</v>
      </c>
    </row>
    <row r="119" spans="1:13" x14ac:dyDescent="0.45">
      <c r="A119">
        <v>117</v>
      </c>
      <c r="B119">
        <v>1</v>
      </c>
      <c r="C119">
        <v>0</v>
      </c>
      <c r="D119">
        <v>1</v>
      </c>
      <c r="E119" s="1">
        <f t="shared" si="13"/>
        <v>1</v>
      </c>
      <c r="F119" s="1">
        <f t="shared" si="14"/>
        <v>0</v>
      </c>
      <c r="H119" t="s">
        <v>122</v>
      </c>
      <c r="I119">
        <f t="shared" si="17"/>
        <v>288026</v>
      </c>
      <c r="J119">
        <f t="shared" si="16"/>
        <v>401866</v>
      </c>
      <c r="K119">
        <f t="shared" si="18"/>
        <v>527401</v>
      </c>
      <c r="L119" s="1">
        <f t="shared" si="19"/>
        <v>0.54612334826820574</v>
      </c>
      <c r="M119">
        <f t="shared" si="15"/>
        <v>689946</v>
      </c>
    </row>
    <row r="120" spans="1:13" x14ac:dyDescent="0.45">
      <c r="A120">
        <v>118</v>
      </c>
      <c r="B120">
        <v>2</v>
      </c>
      <c r="C120">
        <v>0</v>
      </c>
      <c r="D120">
        <v>2</v>
      </c>
      <c r="E120" s="1">
        <f t="shared" si="13"/>
        <v>1</v>
      </c>
      <c r="F120" s="1">
        <f t="shared" si="14"/>
        <v>0</v>
      </c>
      <c r="H120" t="s">
        <v>123</v>
      </c>
      <c r="I120">
        <f t="shared" si="17"/>
        <v>288028</v>
      </c>
      <c r="J120">
        <f t="shared" si="16"/>
        <v>401866</v>
      </c>
      <c r="K120">
        <f t="shared" si="18"/>
        <v>527401</v>
      </c>
      <c r="L120" s="1">
        <f t="shared" si="19"/>
        <v>0.54612714044910804</v>
      </c>
      <c r="M120">
        <f t="shared" si="15"/>
        <v>689946</v>
      </c>
    </row>
    <row r="121" spans="1:13" x14ac:dyDescent="0.45">
      <c r="A121">
        <v>119</v>
      </c>
      <c r="B121">
        <v>1</v>
      </c>
      <c r="C121">
        <v>0</v>
      </c>
      <c r="D121">
        <v>1</v>
      </c>
      <c r="E121" s="1">
        <f t="shared" si="13"/>
        <v>1</v>
      </c>
      <c r="F121" s="1">
        <f t="shared" si="14"/>
        <v>0</v>
      </c>
      <c r="H121" t="s">
        <v>124</v>
      </c>
      <c r="I121">
        <f t="shared" si="17"/>
        <v>288029</v>
      </c>
      <c r="J121">
        <f t="shared" si="16"/>
        <v>401866</v>
      </c>
      <c r="K121">
        <f t="shared" si="18"/>
        <v>527401</v>
      </c>
      <c r="L121" s="1">
        <f t="shared" si="19"/>
        <v>0.54612903653955913</v>
      </c>
      <c r="M121">
        <f t="shared" si="15"/>
        <v>689946</v>
      </c>
    </row>
    <row r="122" spans="1:13" x14ac:dyDescent="0.45">
      <c r="A122">
        <v>120</v>
      </c>
      <c r="B122">
        <v>2</v>
      </c>
      <c r="C122">
        <v>0</v>
      </c>
      <c r="D122">
        <v>2</v>
      </c>
      <c r="E122" s="1">
        <f t="shared" si="13"/>
        <v>1</v>
      </c>
      <c r="F122" s="1">
        <f t="shared" si="14"/>
        <v>0</v>
      </c>
      <c r="H122" t="s">
        <v>125</v>
      </c>
      <c r="I122">
        <f t="shared" si="17"/>
        <v>288031</v>
      </c>
      <c r="J122">
        <f t="shared" si="16"/>
        <v>401866</v>
      </c>
      <c r="K122">
        <f t="shared" si="18"/>
        <v>527401</v>
      </c>
      <c r="L122" s="1">
        <f t="shared" si="19"/>
        <v>0.54613282872046132</v>
      </c>
      <c r="M122">
        <f t="shared" si="15"/>
        <v>689946</v>
      </c>
    </row>
    <row r="123" spans="1:13" x14ac:dyDescent="0.45">
      <c r="A123">
        <v>121</v>
      </c>
      <c r="B123">
        <v>1</v>
      </c>
      <c r="C123">
        <v>0</v>
      </c>
      <c r="D123">
        <v>1</v>
      </c>
      <c r="E123" s="1">
        <f t="shared" si="13"/>
        <v>1</v>
      </c>
      <c r="F123" s="1">
        <f t="shared" si="14"/>
        <v>0</v>
      </c>
      <c r="H123" t="s">
        <v>126</v>
      </c>
      <c r="I123">
        <f t="shared" si="17"/>
        <v>288032</v>
      </c>
      <c r="J123">
        <f t="shared" si="16"/>
        <v>401866</v>
      </c>
      <c r="K123">
        <f t="shared" si="18"/>
        <v>527401</v>
      </c>
      <c r="L123" s="1">
        <f t="shared" si="19"/>
        <v>0.54613472481091241</v>
      </c>
      <c r="M123">
        <f t="shared" si="15"/>
        <v>689946</v>
      </c>
    </row>
    <row r="124" spans="1:13" x14ac:dyDescent="0.45">
      <c r="A124">
        <v>122</v>
      </c>
      <c r="B124">
        <v>2</v>
      </c>
      <c r="C124">
        <v>0</v>
      </c>
      <c r="D124">
        <v>2</v>
      </c>
      <c r="E124" s="1">
        <f t="shared" si="13"/>
        <v>1</v>
      </c>
      <c r="F124" s="1">
        <f t="shared" si="14"/>
        <v>0</v>
      </c>
      <c r="H124" t="s">
        <v>127</v>
      </c>
      <c r="I124">
        <f t="shared" si="17"/>
        <v>288034</v>
      </c>
      <c r="J124">
        <f t="shared" si="16"/>
        <v>401866</v>
      </c>
      <c r="K124">
        <f t="shared" si="18"/>
        <v>527401</v>
      </c>
      <c r="L124" s="1">
        <f t="shared" si="19"/>
        <v>0.54613851699181459</v>
      </c>
      <c r="M124">
        <f t="shared" si="15"/>
        <v>689946</v>
      </c>
    </row>
    <row r="125" spans="1:13" x14ac:dyDescent="0.45">
      <c r="A125">
        <v>123</v>
      </c>
      <c r="B125">
        <v>1</v>
      </c>
      <c r="C125">
        <v>0</v>
      </c>
      <c r="D125">
        <v>1</v>
      </c>
      <c r="E125" s="1">
        <f t="shared" si="13"/>
        <v>1</v>
      </c>
      <c r="F125" s="1">
        <f t="shared" si="14"/>
        <v>0</v>
      </c>
      <c r="H125" t="s">
        <v>128</v>
      </c>
      <c r="I125">
        <f t="shared" si="17"/>
        <v>288035</v>
      </c>
      <c r="J125">
        <f t="shared" si="16"/>
        <v>401866</v>
      </c>
      <c r="K125">
        <f t="shared" si="18"/>
        <v>527401</v>
      </c>
      <c r="L125" s="1">
        <f t="shared" si="19"/>
        <v>0.54614041308226569</v>
      </c>
      <c r="M125">
        <f t="shared" si="15"/>
        <v>689946</v>
      </c>
    </row>
    <row r="126" spans="1:13" x14ac:dyDescent="0.45">
      <c r="A126">
        <v>124</v>
      </c>
      <c r="B126">
        <v>2</v>
      </c>
      <c r="C126">
        <v>0</v>
      </c>
      <c r="D126">
        <v>2</v>
      </c>
      <c r="E126" s="1">
        <f t="shared" si="13"/>
        <v>1</v>
      </c>
      <c r="F126" s="1">
        <f t="shared" si="14"/>
        <v>0</v>
      </c>
      <c r="H126" t="s">
        <v>129</v>
      </c>
      <c r="I126">
        <f t="shared" si="17"/>
        <v>288037</v>
      </c>
      <c r="J126">
        <f t="shared" si="16"/>
        <v>401866</v>
      </c>
      <c r="K126">
        <f t="shared" si="18"/>
        <v>527401</v>
      </c>
      <c r="L126" s="1">
        <f t="shared" si="19"/>
        <v>0.54614420526316787</v>
      </c>
      <c r="M126">
        <f t="shared" si="15"/>
        <v>689946</v>
      </c>
    </row>
    <row r="127" spans="1:13" x14ac:dyDescent="0.45">
      <c r="A127">
        <v>125</v>
      </c>
      <c r="B127">
        <v>1</v>
      </c>
      <c r="C127">
        <v>0</v>
      </c>
      <c r="D127">
        <v>1</v>
      </c>
      <c r="E127" s="1">
        <f t="shared" si="13"/>
        <v>1</v>
      </c>
      <c r="F127" s="1">
        <f t="shared" si="14"/>
        <v>0</v>
      </c>
      <c r="H127" t="s">
        <v>130</v>
      </c>
      <c r="I127">
        <f t="shared" si="17"/>
        <v>288038</v>
      </c>
      <c r="J127">
        <f t="shared" si="16"/>
        <v>401866</v>
      </c>
      <c r="K127">
        <f t="shared" si="18"/>
        <v>527401</v>
      </c>
      <c r="L127" s="1">
        <f t="shared" si="19"/>
        <v>0.54614610135361896</v>
      </c>
      <c r="M127">
        <f t="shared" si="15"/>
        <v>689946</v>
      </c>
    </row>
    <row r="128" spans="1:13" x14ac:dyDescent="0.45">
      <c r="A128">
        <v>126</v>
      </c>
      <c r="B128">
        <v>2</v>
      </c>
      <c r="C128">
        <v>0</v>
      </c>
      <c r="D128">
        <v>2</v>
      </c>
      <c r="E128" s="1">
        <f t="shared" si="13"/>
        <v>1</v>
      </c>
      <c r="F128" s="1">
        <f t="shared" si="14"/>
        <v>0</v>
      </c>
      <c r="H128" t="s">
        <v>131</v>
      </c>
      <c r="I128">
        <f t="shared" si="17"/>
        <v>288040</v>
      </c>
      <c r="J128">
        <f t="shared" si="16"/>
        <v>401866</v>
      </c>
      <c r="K128">
        <f t="shared" si="18"/>
        <v>527401</v>
      </c>
      <c r="L128" s="1">
        <f t="shared" si="19"/>
        <v>0.54614989353452115</v>
      </c>
      <c r="M128">
        <f t="shared" si="15"/>
        <v>689946</v>
      </c>
    </row>
    <row r="129" spans="1:13" x14ac:dyDescent="0.45">
      <c r="A129">
        <v>127</v>
      </c>
      <c r="B129">
        <v>1</v>
      </c>
      <c r="C129">
        <v>0</v>
      </c>
      <c r="D129">
        <v>1</v>
      </c>
      <c r="E129" s="1">
        <f t="shared" si="13"/>
        <v>1</v>
      </c>
      <c r="F129" s="1">
        <f t="shared" si="14"/>
        <v>0</v>
      </c>
      <c r="H129" t="s">
        <v>132</v>
      </c>
      <c r="I129">
        <f t="shared" si="17"/>
        <v>288041</v>
      </c>
      <c r="J129">
        <f t="shared" si="16"/>
        <v>401866</v>
      </c>
      <c r="K129">
        <f t="shared" si="18"/>
        <v>527401</v>
      </c>
      <c r="L129" s="1">
        <f t="shared" si="19"/>
        <v>0.54615178962497224</v>
      </c>
      <c r="M129">
        <f t="shared" si="15"/>
        <v>689946</v>
      </c>
    </row>
    <row r="130" spans="1:13" x14ac:dyDescent="0.45">
      <c r="A130">
        <v>128</v>
      </c>
      <c r="B130">
        <v>2</v>
      </c>
      <c r="C130">
        <v>1</v>
      </c>
      <c r="D130">
        <v>3</v>
      </c>
      <c r="E130" s="1">
        <f t="shared" si="13"/>
        <v>0.66666666666666663</v>
      </c>
      <c r="F130" s="1">
        <f t="shared" si="14"/>
        <v>0.33333333333333331</v>
      </c>
      <c r="H130" t="s">
        <v>133</v>
      </c>
      <c r="I130">
        <f t="shared" si="17"/>
        <v>288043</v>
      </c>
      <c r="J130">
        <f t="shared" si="16"/>
        <v>401867</v>
      </c>
      <c r="K130">
        <f t="shared" si="18"/>
        <v>527402</v>
      </c>
      <c r="L130" s="1">
        <f t="shared" si="19"/>
        <v>0.54615454624745452</v>
      </c>
      <c r="M130">
        <f t="shared" si="15"/>
        <v>689946</v>
      </c>
    </row>
    <row r="131" spans="1:13" x14ac:dyDescent="0.45">
      <c r="A131">
        <v>130</v>
      </c>
      <c r="B131">
        <v>2</v>
      </c>
      <c r="C131">
        <v>0</v>
      </c>
      <c r="D131">
        <v>2</v>
      </c>
      <c r="E131" s="1">
        <f t="shared" si="13"/>
        <v>1</v>
      </c>
      <c r="F131" s="1">
        <f t="shared" si="14"/>
        <v>0</v>
      </c>
      <c r="H131" t="s">
        <v>134</v>
      </c>
      <c r="I131">
        <f t="shared" si="17"/>
        <v>288045</v>
      </c>
      <c r="J131">
        <f t="shared" si="16"/>
        <v>401867</v>
      </c>
      <c r="K131">
        <f t="shared" si="18"/>
        <v>527402</v>
      </c>
      <c r="L131" s="1">
        <f t="shared" si="19"/>
        <v>0.54615833842116635</v>
      </c>
      <c r="M131">
        <f t="shared" si="15"/>
        <v>689946</v>
      </c>
    </row>
    <row r="132" spans="1:13" x14ac:dyDescent="0.45">
      <c r="A132">
        <v>132</v>
      </c>
      <c r="B132">
        <v>2</v>
      </c>
      <c r="C132">
        <v>0</v>
      </c>
      <c r="D132">
        <v>2</v>
      </c>
      <c r="E132" s="1">
        <f t="shared" si="13"/>
        <v>1</v>
      </c>
      <c r="F132" s="1">
        <f t="shared" si="14"/>
        <v>0</v>
      </c>
      <c r="H132" t="s">
        <v>135</v>
      </c>
      <c r="I132">
        <f t="shared" si="17"/>
        <v>288047</v>
      </c>
      <c r="J132">
        <f t="shared" si="16"/>
        <v>401867</v>
      </c>
      <c r="K132">
        <f t="shared" si="18"/>
        <v>527402</v>
      </c>
      <c r="L132" s="1">
        <f t="shared" si="19"/>
        <v>0.54616213059487828</v>
      </c>
      <c r="M132">
        <f t="shared" si="15"/>
        <v>689946</v>
      </c>
    </row>
    <row r="133" spans="1:13" x14ac:dyDescent="0.45">
      <c r="A133">
        <v>134</v>
      </c>
      <c r="B133">
        <v>2</v>
      </c>
      <c r="C133">
        <v>0</v>
      </c>
      <c r="D133">
        <v>2</v>
      </c>
      <c r="E133" s="1">
        <f t="shared" ref="E133:E157" si="20">B133/D133</f>
        <v>1</v>
      </c>
      <c r="F133" s="1">
        <f t="shared" ref="F133:F157" si="21">C133/D133</f>
        <v>0</v>
      </c>
      <c r="H133" t="s">
        <v>136</v>
      </c>
      <c r="I133">
        <f t="shared" si="17"/>
        <v>288049</v>
      </c>
      <c r="J133">
        <f t="shared" si="16"/>
        <v>401867</v>
      </c>
      <c r="K133">
        <f t="shared" si="18"/>
        <v>527402</v>
      </c>
      <c r="L133" s="1">
        <f t="shared" si="19"/>
        <v>0.54616592276859022</v>
      </c>
      <c r="M133">
        <f t="shared" ref="M133:M157" si="22">SUM(D:D)</f>
        <v>689946</v>
      </c>
    </row>
    <row r="134" spans="1:13" x14ac:dyDescent="0.45">
      <c r="A134">
        <v>136</v>
      </c>
      <c r="B134">
        <v>2</v>
      </c>
      <c r="C134">
        <v>0</v>
      </c>
      <c r="D134">
        <v>2</v>
      </c>
      <c r="E134" s="1">
        <f t="shared" si="20"/>
        <v>1</v>
      </c>
      <c r="F134" s="1">
        <f t="shared" si="21"/>
        <v>0</v>
      </c>
      <c r="H134" t="s">
        <v>137</v>
      </c>
      <c r="I134">
        <f t="shared" si="17"/>
        <v>288051</v>
      </c>
      <c r="J134">
        <f t="shared" ref="J134:J157" si="23">C134+J133</f>
        <v>401867</v>
      </c>
      <c r="K134">
        <f t="shared" si="18"/>
        <v>527402</v>
      </c>
      <c r="L134" s="1">
        <f t="shared" si="19"/>
        <v>0.54616971494230204</v>
      </c>
      <c r="M134">
        <f t="shared" si="22"/>
        <v>689946</v>
      </c>
    </row>
    <row r="135" spans="1:13" x14ac:dyDescent="0.45">
      <c r="A135">
        <v>138</v>
      </c>
      <c r="B135">
        <v>2</v>
      </c>
      <c r="C135">
        <v>0</v>
      </c>
      <c r="D135">
        <v>2</v>
      </c>
      <c r="E135" s="1">
        <f t="shared" si="20"/>
        <v>1</v>
      </c>
      <c r="F135" s="1">
        <f t="shared" si="21"/>
        <v>0</v>
      </c>
      <c r="H135" t="s">
        <v>138</v>
      </c>
      <c r="I135">
        <f t="shared" si="17"/>
        <v>288053</v>
      </c>
      <c r="J135">
        <f t="shared" si="23"/>
        <v>401867</v>
      </c>
      <c r="K135">
        <f t="shared" si="18"/>
        <v>527402</v>
      </c>
      <c r="L135" s="1">
        <f t="shared" si="19"/>
        <v>0.54617350711601398</v>
      </c>
      <c r="M135">
        <f t="shared" si="22"/>
        <v>689946</v>
      </c>
    </row>
    <row r="136" spans="1:13" x14ac:dyDescent="0.45">
      <c r="A136">
        <v>140</v>
      </c>
      <c r="B136">
        <v>2</v>
      </c>
      <c r="C136">
        <v>0</v>
      </c>
      <c r="D136">
        <v>2</v>
      </c>
      <c r="E136" s="1">
        <f t="shared" si="20"/>
        <v>1</v>
      </c>
      <c r="F136" s="1">
        <f t="shared" si="21"/>
        <v>0</v>
      </c>
      <c r="H136" t="s">
        <v>139</v>
      </c>
      <c r="I136">
        <f t="shared" si="17"/>
        <v>288055</v>
      </c>
      <c r="J136">
        <f t="shared" si="23"/>
        <v>401867</v>
      </c>
      <c r="K136">
        <f t="shared" si="18"/>
        <v>527402</v>
      </c>
      <c r="L136" s="1">
        <f t="shared" si="19"/>
        <v>0.54617729928972591</v>
      </c>
      <c r="M136">
        <f t="shared" si="22"/>
        <v>689946</v>
      </c>
    </row>
    <row r="137" spans="1:13" x14ac:dyDescent="0.45">
      <c r="A137">
        <v>142</v>
      </c>
      <c r="B137">
        <v>2</v>
      </c>
      <c r="C137">
        <v>0</v>
      </c>
      <c r="D137">
        <v>2</v>
      </c>
      <c r="E137" s="1">
        <f t="shared" si="20"/>
        <v>1</v>
      </c>
      <c r="F137" s="1">
        <f t="shared" si="21"/>
        <v>0</v>
      </c>
      <c r="H137" t="s">
        <v>140</v>
      </c>
      <c r="I137">
        <f t="shared" si="17"/>
        <v>288057</v>
      </c>
      <c r="J137">
        <f t="shared" si="23"/>
        <v>401867</v>
      </c>
      <c r="K137">
        <f t="shared" si="18"/>
        <v>527402</v>
      </c>
      <c r="L137" s="1">
        <f t="shared" si="19"/>
        <v>0.54618109146343774</v>
      </c>
      <c r="M137">
        <f t="shared" si="22"/>
        <v>689946</v>
      </c>
    </row>
    <row r="138" spans="1:13" x14ac:dyDescent="0.45">
      <c r="A138">
        <v>144</v>
      </c>
      <c r="B138">
        <v>2</v>
      </c>
      <c r="C138">
        <v>0</v>
      </c>
      <c r="D138">
        <v>2</v>
      </c>
      <c r="E138" s="1">
        <f t="shared" si="20"/>
        <v>1</v>
      </c>
      <c r="F138" s="1">
        <f t="shared" si="21"/>
        <v>0</v>
      </c>
      <c r="H138" t="s">
        <v>141</v>
      </c>
      <c r="I138">
        <f t="shared" si="17"/>
        <v>288059</v>
      </c>
      <c r="J138">
        <f t="shared" si="23"/>
        <v>401867</v>
      </c>
      <c r="K138">
        <f t="shared" si="18"/>
        <v>527402</v>
      </c>
      <c r="L138" s="1">
        <f t="shared" si="19"/>
        <v>0.54618488363714968</v>
      </c>
      <c r="M138">
        <f t="shared" si="22"/>
        <v>689946</v>
      </c>
    </row>
    <row r="139" spans="1:13" x14ac:dyDescent="0.45">
      <c r="A139">
        <v>146</v>
      </c>
      <c r="B139">
        <v>2</v>
      </c>
      <c r="C139">
        <v>0</v>
      </c>
      <c r="D139">
        <v>2</v>
      </c>
      <c r="E139" s="1">
        <f t="shared" si="20"/>
        <v>1</v>
      </c>
      <c r="F139" s="1">
        <f t="shared" si="21"/>
        <v>0</v>
      </c>
      <c r="H139" t="s">
        <v>142</v>
      </c>
      <c r="I139">
        <f t="shared" si="17"/>
        <v>288061</v>
      </c>
      <c r="J139">
        <f t="shared" si="23"/>
        <v>401867</v>
      </c>
      <c r="K139">
        <f t="shared" si="18"/>
        <v>527402</v>
      </c>
      <c r="L139" s="1">
        <f t="shared" si="19"/>
        <v>0.5461886758108615</v>
      </c>
      <c r="M139">
        <f t="shared" si="22"/>
        <v>689946</v>
      </c>
    </row>
    <row r="140" spans="1:13" x14ac:dyDescent="0.45">
      <c r="A140">
        <v>148</v>
      </c>
      <c r="B140">
        <v>1</v>
      </c>
      <c r="C140">
        <v>0</v>
      </c>
      <c r="D140">
        <v>1</v>
      </c>
      <c r="E140" s="1">
        <f t="shared" si="20"/>
        <v>1</v>
      </c>
      <c r="F140" s="1">
        <f t="shared" si="21"/>
        <v>0</v>
      </c>
      <c r="H140" t="s">
        <v>143</v>
      </c>
      <c r="I140">
        <f t="shared" si="17"/>
        <v>288062</v>
      </c>
      <c r="J140">
        <f t="shared" si="23"/>
        <v>401867</v>
      </c>
      <c r="K140">
        <f t="shared" si="18"/>
        <v>527402</v>
      </c>
      <c r="L140" s="1">
        <f t="shared" si="19"/>
        <v>0.54619057189771747</v>
      </c>
      <c r="M140">
        <f t="shared" si="22"/>
        <v>689946</v>
      </c>
    </row>
    <row r="141" spans="1:13" x14ac:dyDescent="0.45">
      <c r="A141">
        <v>150</v>
      </c>
      <c r="B141">
        <v>1</v>
      </c>
      <c r="C141">
        <v>0</v>
      </c>
      <c r="D141">
        <v>1</v>
      </c>
      <c r="E141" s="1">
        <f t="shared" si="20"/>
        <v>1</v>
      </c>
      <c r="F141" s="1">
        <f t="shared" si="21"/>
        <v>0</v>
      </c>
      <c r="H141" t="s">
        <v>144</v>
      </c>
      <c r="I141">
        <f t="shared" si="17"/>
        <v>288063</v>
      </c>
      <c r="J141">
        <f t="shared" si="23"/>
        <v>401867</v>
      </c>
      <c r="K141">
        <f t="shared" si="18"/>
        <v>527402</v>
      </c>
      <c r="L141" s="1">
        <f t="shared" si="19"/>
        <v>0.54619246798457344</v>
      </c>
      <c r="M141">
        <f t="shared" si="22"/>
        <v>689946</v>
      </c>
    </row>
    <row r="142" spans="1:13" x14ac:dyDescent="0.45">
      <c r="A142">
        <v>152</v>
      </c>
      <c r="B142">
        <v>1</v>
      </c>
      <c r="C142">
        <v>0</v>
      </c>
      <c r="D142">
        <v>1</v>
      </c>
      <c r="E142" s="1">
        <f t="shared" si="20"/>
        <v>1</v>
      </c>
      <c r="F142" s="1">
        <f t="shared" si="21"/>
        <v>0</v>
      </c>
      <c r="H142" t="s">
        <v>145</v>
      </c>
      <c r="I142">
        <f t="shared" si="17"/>
        <v>288064</v>
      </c>
      <c r="J142">
        <f t="shared" si="23"/>
        <v>401867</v>
      </c>
      <c r="K142">
        <f t="shared" si="18"/>
        <v>527402</v>
      </c>
      <c r="L142" s="1">
        <f t="shared" si="19"/>
        <v>0.54619436407142941</v>
      </c>
      <c r="M142">
        <f t="shared" si="22"/>
        <v>689946</v>
      </c>
    </row>
    <row r="143" spans="1:13" x14ac:dyDescent="0.45">
      <c r="A143">
        <v>154</v>
      </c>
      <c r="B143">
        <v>1</v>
      </c>
      <c r="C143">
        <v>0</v>
      </c>
      <c r="D143">
        <v>1</v>
      </c>
      <c r="E143" s="1">
        <f t="shared" si="20"/>
        <v>1</v>
      </c>
      <c r="F143" s="1">
        <f t="shared" si="21"/>
        <v>0</v>
      </c>
      <c r="H143" t="s">
        <v>146</v>
      </c>
      <c r="I143">
        <f t="shared" si="17"/>
        <v>288065</v>
      </c>
      <c r="J143">
        <f t="shared" si="23"/>
        <v>401867</v>
      </c>
      <c r="K143">
        <f t="shared" si="18"/>
        <v>527402</v>
      </c>
      <c r="L143" s="1">
        <f t="shared" si="19"/>
        <v>0.54619626015828537</v>
      </c>
      <c r="M143">
        <f t="shared" si="22"/>
        <v>689946</v>
      </c>
    </row>
    <row r="144" spans="1:13" x14ac:dyDescent="0.45">
      <c r="A144">
        <v>156</v>
      </c>
      <c r="B144">
        <v>1</v>
      </c>
      <c r="C144">
        <v>0</v>
      </c>
      <c r="D144">
        <v>1</v>
      </c>
      <c r="E144" s="1">
        <f t="shared" si="20"/>
        <v>1</v>
      </c>
      <c r="F144" s="1">
        <f t="shared" si="21"/>
        <v>0</v>
      </c>
      <c r="H144" t="s">
        <v>147</v>
      </c>
      <c r="I144">
        <f t="shared" si="17"/>
        <v>288066</v>
      </c>
      <c r="J144">
        <f t="shared" si="23"/>
        <v>401867</v>
      </c>
      <c r="K144">
        <f t="shared" si="18"/>
        <v>527402</v>
      </c>
      <c r="L144" s="1">
        <f t="shared" si="19"/>
        <v>0.54619815624514123</v>
      </c>
      <c r="M144">
        <f t="shared" si="22"/>
        <v>689946</v>
      </c>
    </row>
    <row r="145" spans="1:13" x14ac:dyDescent="0.45">
      <c r="A145">
        <v>158</v>
      </c>
      <c r="B145">
        <v>1</v>
      </c>
      <c r="C145">
        <v>0</v>
      </c>
      <c r="D145">
        <v>1</v>
      </c>
      <c r="E145" s="1">
        <f t="shared" si="20"/>
        <v>1</v>
      </c>
      <c r="F145" s="1">
        <f t="shared" si="21"/>
        <v>0</v>
      </c>
      <c r="H145" t="s">
        <v>148</v>
      </c>
      <c r="I145">
        <f t="shared" si="17"/>
        <v>288067</v>
      </c>
      <c r="J145">
        <f t="shared" si="23"/>
        <v>401867</v>
      </c>
      <c r="K145">
        <f t="shared" si="18"/>
        <v>527402</v>
      </c>
      <c r="L145" s="1">
        <f t="shared" si="19"/>
        <v>0.5462000523319972</v>
      </c>
      <c r="M145">
        <f t="shared" si="22"/>
        <v>689946</v>
      </c>
    </row>
    <row r="146" spans="1:13" x14ac:dyDescent="0.45">
      <c r="A146">
        <v>160</v>
      </c>
      <c r="B146">
        <v>1</v>
      </c>
      <c r="C146">
        <v>0</v>
      </c>
      <c r="D146">
        <v>1</v>
      </c>
      <c r="E146" s="1">
        <f t="shared" si="20"/>
        <v>1</v>
      </c>
      <c r="F146" s="1">
        <f t="shared" si="21"/>
        <v>0</v>
      </c>
      <c r="H146" t="s">
        <v>149</v>
      </c>
      <c r="I146">
        <f t="shared" si="17"/>
        <v>288068</v>
      </c>
      <c r="J146">
        <f t="shared" si="23"/>
        <v>401867</v>
      </c>
      <c r="K146">
        <f t="shared" si="18"/>
        <v>527402</v>
      </c>
      <c r="L146" s="1">
        <f t="shared" si="19"/>
        <v>0.54620194841885317</v>
      </c>
      <c r="M146">
        <f t="shared" si="22"/>
        <v>689946</v>
      </c>
    </row>
    <row r="147" spans="1:13" x14ac:dyDescent="0.45">
      <c r="A147">
        <v>162</v>
      </c>
      <c r="B147">
        <v>1</v>
      </c>
      <c r="C147">
        <v>0</v>
      </c>
      <c r="D147">
        <v>1</v>
      </c>
      <c r="E147" s="1">
        <f t="shared" si="20"/>
        <v>1</v>
      </c>
      <c r="F147" s="1">
        <f t="shared" si="21"/>
        <v>0</v>
      </c>
      <c r="H147" t="s">
        <v>150</v>
      </c>
      <c r="I147">
        <f t="shared" si="17"/>
        <v>288069</v>
      </c>
      <c r="J147">
        <f t="shared" si="23"/>
        <v>401867</v>
      </c>
      <c r="K147">
        <f t="shared" si="18"/>
        <v>527402</v>
      </c>
      <c r="L147" s="1">
        <f t="shared" si="19"/>
        <v>0.54620384450570914</v>
      </c>
      <c r="M147">
        <f t="shared" si="22"/>
        <v>689946</v>
      </c>
    </row>
    <row r="148" spans="1:13" x14ac:dyDescent="0.45">
      <c r="A148">
        <v>164</v>
      </c>
      <c r="B148">
        <v>1</v>
      </c>
      <c r="C148">
        <v>0</v>
      </c>
      <c r="D148">
        <v>1</v>
      </c>
      <c r="E148" s="1">
        <f t="shared" si="20"/>
        <v>1</v>
      </c>
      <c r="F148" s="1">
        <f t="shared" si="21"/>
        <v>0</v>
      </c>
      <c r="H148" t="s">
        <v>151</v>
      </c>
      <c r="I148">
        <f t="shared" si="17"/>
        <v>288070</v>
      </c>
      <c r="J148">
        <f t="shared" si="23"/>
        <v>401867</v>
      </c>
      <c r="K148">
        <f t="shared" si="18"/>
        <v>527402</v>
      </c>
      <c r="L148" s="1">
        <f t="shared" si="19"/>
        <v>0.5462057405925651</v>
      </c>
      <c r="M148">
        <f t="shared" si="22"/>
        <v>689946</v>
      </c>
    </row>
    <row r="149" spans="1:13" x14ac:dyDescent="0.45">
      <c r="A149">
        <v>166</v>
      </c>
      <c r="B149">
        <v>1</v>
      </c>
      <c r="C149">
        <v>0</v>
      </c>
      <c r="D149">
        <v>1</v>
      </c>
      <c r="E149" s="1">
        <f t="shared" si="20"/>
        <v>1</v>
      </c>
      <c r="F149" s="1">
        <f t="shared" si="21"/>
        <v>0</v>
      </c>
      <c r="H149" t="s">
        <v>152</v>
      </c>
      <c r="I149">
        <f t="shared" si="17"/>
        <v>288071</v>
      </c>
      <c r="J149">
        <f t="shared" si="23"/>
        <v>401867</v>
      </c>
      <c r="K149">
        <f t="shared" si="18"/>
        <v>527402</v>
      </c>
      <c r="L149" s="1">
        <f t="shared" si="19"/>
        <v>0.54620763667942096</v>
      </c>
      <c r="M149">
        <f t="shared" si="22"/>
        <v>689946</v>
      </c>
    </row>
    <row r="150" spans="1:13" x14ac:dyDescent="0.45">
      <c r="A150">
        <v>168</v>
      </c>
      <c r="B150">
        <v>1</v>
      </c>
      <c r="C150">
        <v>0</v>
      </c>
      <c r="D150">
        <v>1</v>
      </c>
      <c r="E150" s="1">
        <f t="shared" si="20"/>
        <v>1</v>
      </c>
      <c r="F150" s="1">
        <f t="shared" si="21"/>
        <v>0</v>
      </c>
      <c r="H150" t="s">
        <v>153</v>
      </c>
      <c r="I150">
        <f t="shared" si="17"/>
        <v>288072</v>
      </c>
      <c r="J150">
        <f t="shared" si="23"/>
        <v>401867</v>
      </c>
      <c r="K150">
        <f t="shared" si="18"/>
        <v>527402</v>
      </c>
      <c r="L150" s="1">
        <f t="shared" si="19"/>
        <v>0.54620953276627693</v>
      </c>
      <c r="M150">
        <f t="shared" si="22"/>
        <v>689946</v>
      </c>
    </row>
    <row r="151" spans="1:13" x14ac:dyDescent="0.45">
      <c r="A151">
        <v>170</v>
      </c>
      <c r="B151">
        <v>1</v>
      </c>
      <c r="C151">
        <v>0</v>
      </c>
      <c r="D151">
        <v>1</v>
      </c>
      <c r="E151" s="1">
        <f t="shared" si="20"/>
        <v>1</v>
      </c>
      <c r="F151" s="1">
        <f t="shared" si="21"/>
        <v>0</v>
      </c>
      <c r="H151" t="s">
        <v>154</v>
      </c>
      <c r="I151">
        <f t="shared" si="17"/>
        <v>288073</v>
      </c>
      <c r="J151">
        <f t="shared" si="23"/>
        <v>401867</v>
      </c>
      <c r="K151">
        <f t="shared" si="18"/>
        <v>527402</v>
      </c>
      <c r="L151" s="1">
        <f t="shared" si="19"/>
        <v>0.5462114288531329</v>
      </c>
      <c r="M151">
        <f t="shared" si="22"/>
        <v>689946</v>
      </c>
    </row>
    <row r="152" spans="1:13" x14ac:dyDescent="0.45">
      <c r="A152">
        <v>172</v>
      </c>
      <c r="B152">
        <v>1</v>
      </c>
      <c r="C152">
        <v>0</v>
      </c>
      <c r="D152">
        <v>1</v>
      </c>
      <c r="E152" s="1">
        <f t="shared" si="20"/>
        <v>1</v>
      </c>
      <c r="F152" s="1">
        <f t="shared" si="21"/>
        <v>0</v>
      </c>
      <c r="H152" t="s">
        <v>155</v>
      </c>
      <c r="I152">
        <f t="shared" si="17"/>
        <v>288074</v>
      </c>
      <c r="J152">
        <f t="shared" si="23"/>
        <v>401867</v>
      </c>
      <c r="K152">
        <f t="shared" si="18"/>
        <v>527402</v>
      </c>
      <c r="L152" s="1">
        <f t="shared" si="19"/>
        <v>0.54621332493998886</v>
      </c>
      <c r="M152">
        <f t="shared" si="22"/>
        <v>689946</v>
      </c>
    </row>
    <row r="153" spans="1:13" x14ac:dyDescent="0.45">
      <c r="A153">
        <v>174</v>
      </c>
      <c r="B153">
        <v>1</v>
      </c>
      <c r="C153">
        <v>0</v>
      </c>
      <c r="D153">
        <v>1</v>
      </c>
      <c r="E153" s="1">
        <f t="shared" si="20"/>
        <v>1</v>
      </c>
      <c r="F153" s="1">
        <f t="shared" si="21"/>
        <v>0</v>
      </c>
      <c r="H153" t="s">
        <v>156</v>
      </c>
      <c r="I153">
        <f t="shared" si="17"/>
        <v>288075</v>
      </c>
      <c r="J153">
        <f t="shared" si="23"/>
        <v>401867</v>
      </c>
      <c r="K153">
        <f t="shared" si="18"/>
        <v>527402</v>
      </c>
      <c r="L153" s="1">
        <f t="shared" si="19"/>
        <v>0.54621522102684483</v>
      </c>
      <c r="M153">
        <f t="shared" si="22"/>
        <v>689946</v>
      </c>
    </row>
    <row r="154" spans="1:13" x14ac:dyDescent="0.45">
      <c r="A154">
        <v>176</v>
      </c>
      <c r="B154">
        <v>1</v>
      </c>
      <c r="C154">
        <v>0</v>
      </c>
      <c r="D154">
        <v>1</v>
      </c>
      <c r="E154" s="1">
        <f t="shared" si="20"/>
        <v>1</v>
      </c>
      <c r="F154" s="1">
        <f t="shared" si="21"/>
        <v>0</v>
      </c>
      <c r="H154" t="s">
        <v>157</v>
      </c>
      <c r="I154">
        <f t="shared" si="17"/>
        <v>288076</v>
      </c>
      <c r="J154">
        <f t="shared" si="23"/>
        <v>401867</v>
      </c>
      <c r="K154">
        <f t="shared" si="18"/>
        <v>527402</v>
      </c>
      <c r="L154" s="1">
        <f t="shared" si="19"/>
        <v>0.54621711711370069</v>
      </c>
      <c r="M154">
        <f t="shared" si="22"/>
        <v>689946</v>
      </c>
    </row>
    <row r="155" spans="1:13" x14ac:dyDescent="0.45">
      <c r="A155">
        <v>178</v>
      </c>
      <c r="B155">
        <v>1</v>
      </c>
      <c r="C155">
        <v>0</v>
      </c>
      <c r="D155">
        <v>1</v>
      </c>
      <c r="E155" s="1">
        <f t="shared" si="20"/>
        <v>1</v>
      </c>
      <c r="F155" s="1">
        <f t="shared" si="21"/>
        <v>0</v>
      </c>
      <c r="H155" t="s">
        <v>158</v>
      </c>
      <c r="I155">
        <f>B155+I154</f>
        <v>288077</v>
      </c>
      <c r="J155">
        <f t="shared" si="23"/>
        <v>401867</v>
      </c>
      <c r="K155">
        <f>C155+K154</f>
        <v>527402</v>
      </c>
      <c r="L155" s="1">
        <f t="shared" si="19"/>
        <v>0.54621901320055666</v>
      </c>
      <c r="M155">
        <f t="shared" si="22"/>
        <v>689946</v>
      </c>
    </row>
    <row r="156" spans="1:13" x14ac:dyDescent="0.45">
      <c r="A156">
        <v>180</v>
      </c>
      <c r="B156">
        <v>1</v>
      </c>
      <c r="C156">
        <v>0</v>
      </c>
      <c r="D156">
        <v>1</v>
      </c>
      <c r="E156" s="1">
        <f t="shared" si="20"/>
        <v>1</v>
      </c>
      <c r="F156" s="1">
        <f t="shared" si="21"/>
        <v>0</v>
      </c>
      <c r="H156" t="s">
        <v>159</v>
      </c>
      <c r="I156">
        <f>B156+I155</f>
        <v>288078</v>
      </c>
      <c r="J156">
        <f t="shared" si="23"/>
        <v>401867</v>
      </c>
      <c r="K156">
        <f>C156+K155</f>
        <v>527402</v>
      </c>
      <c r="L156" s="1">
        <f t="shared" si="19"/>
        <v>0.54622090928741263</v>
      </c>
      <c r="M156">
        <f t="shared" si="22"/>
        <v>689946</v>
      </c>
    </row>
    <row r="157" spans="1:13" x14ac:dyDescent="0.45">
      <c r="A157">
        <v>182</v>
      </c>
      <c r="B157">
        <v>1</v>
      </c>
      <c r="C157">
        <v>0</v>
      </c>
      <c r="D157">
        <v>1</v>
      </c>
      <c r="E157" s="1">
        <f t="shared" si="20"/>
        <v>1</v>
      </c>
      <c r="F157" s="1">
        <f t="shared" si="21"/>
        <v>0</v>
      </c>
      <c r="H157" t="s">
        <v>160</v>
      </c>
      <c r="I157">
        <f>B157+I156</f>
        <v>288079</v>
      </c>
      <c r="J157">
        <f t="shared" si="23"/>
        <v>401867</v>
      </c>
      <c r="K157">
        <f>C157+K156</f>
        <v>527402</v>
      </c>
      <c r="L157" s="1">
        <f t="shared" si="19"/>
        <v>0.54622280537426859</v>
      </c>
      <c r="M157">
        <f t="shared" si="22"/>
        <v>689946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6A18-B146-4BAD-9E1E-1B8D5B968F06}">
  <dimension ref="A1"/>
  <sheetViews>
    <sheetView workbookViewId="0"/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Nathan Stechschulte</cp:lastModifiedBy>
  <dcterms:created xsi:type="dcterms:W3CDTF">2025-04-06T23:32:28Z</dcterms:created>
  <dcterms:modified xsi:type="dcterms:W3CDTF">2025-05-02T00:40:20Z</dcterms:modified>
</cp:coreProperties>
</file>